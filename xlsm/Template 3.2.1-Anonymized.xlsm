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4.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https://d.docs.live.net/358b870ca2436848/DnD/Sharing/"/>
    </mc:Choice>
  </mc:AlternateContent>
  <xr:revisionPtr revIDLastSave="6105" documentId="13_ncr:1_{7A76BC94-1DDB-4678-9A13-C1A3B2ED083C}" xr6:coauthVersionLast="47" xr6:coauthVersionMax="47" xr10:uidLastSave="{1526A7BA-B7A3-4504-8A7B-7E37D70DF59D}"/>
  <bookViews>
    <workbookView xWindow="28680" yWindow="-120" windowWidth="29040" windowHeight="15720" xr2:uid="{B134B48D-D91E-41B7-A5CE-18C26BD79DDF}"/>
  </bookViews>
  <sheets>
    <sheet name="PC Template" sheetId="8" r:id="rId1"/>
    <sheet name="Background" sheetId="9" r:id="rId2"/>
    <sheet name="Spells" sheetId="1" r:id="rId3"/>
    <sheet name="Monsters" sheetId="11" r:id="rId4"/>
    <sheet name="Monster Template" sheetId="10" state="hidden" r:id="rId5"/>
  </sheets>
  <functionGroups builtInGroupCount="19"/>
  <definedNames>
    <definedName name="Age">Background!$G$3</definedName>
    <definedName name="Alignment">'PC Template'!$C$32</definedName>
    <definedName name="Background">'PC Template'!$A$34</definedName>
    <definedName name="ChaCell">'PC Template'!$B$15</definedName>
    <definedName name="ChaMod">'PC Template'!$C$15</definedName>
    <definedName name="ConCell">'PC Template'!$B$12</definedName>
    <definedName name="ConMod">'PC Template'!$C$12</definedName>
    <definedName name="Copper">'PC Template'!$M$12</definedName>
    <definedName name="Death_Fail">'PC Template'!$B$29</definedName>
    <definedName name="Death_Pass">'PC Template'!$B$28</definedName>
    <definedName name="DeathFail">'PC Template'!$B$29</definedName>
    <definedName name="DexCell">'PC Template'!$B$11</definedName>
    <definedName name="DexMod">'PC Template'!$C$11</definedName>
    <definedName name="Electrum">'PC Template'!$K$12</definedName>
    <definedName name="Eyes">Background!$G$7</definedName>
    <definedName name="Gender">Background!$H$3</definedName>
    <definedName name="Gold">'PC Template'!$J$12</definedName>
    <definedName name="Hair">Background!$I$7</definedName>
    <definedName name="Height">Background!$G$5</definedName>
    <definedName name="Insprtn">'PC Template'!$C$21</definedName>
    <definedName name="IntCell">'PC Template'!$B$13</definedName>
    <definedName name="IntMod">'PC Template'!$C$13</definedName>
    <definedName name="Max_Prepared">Spells!$E$4</definedName>
    <definedName name="Name">'PC Template'!$A$9</definedName>
    <definedName name="Platinum">'PC Template'!$I$12</definedName>
    <definedName name="Player">'PC Template'!$B$34</definedName>
    <definedName name="Player_2">'PC Template'!$C$34</definedName>
    <definedName name="Res_DC">'PC Template'!$C$28</definedName>
    <definedName name="Silver">'PC Template'!$L$12</definedName>
    <definedName name="Size">'PC Template'!$B$32</definedName>
    <definedName name="Skin">Background!$H$7</definedName>
    <definedName name="StrCell">'PC Template'!$B$10</definedName>
    <definedName name="StrMod">'PC Template'!$C$10</definedName>
    <definedName name="Type">'PC Template'!$A$32</definedName>
    <definedName name="Version">'PC Template'!$U$25</definedName>
    <definedName name="Weight">Background!$H$5</definedName>
    <definedName name="WisCell">'PC Template'!$B$14</definedName>
    <definedName name="WisMod">'PC Template'!$C$14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 i="1" l="1"/>
  <c r="M3" i="1"/>
  <c r="M2" i="1"/>
  <c r="M6" i="1" a="1"/>
  <c r="M6" i="1" s="1"/>
  <c r="M5" i="1" l="1"/>
  <c r="M4" i="1"/>
  <c r="C10" i="8" l="1"/>
  <c r="C11" i="8"/>
  <c r="D4" i="1" l="1"/>
  <c r="C15" i="10" l="1"/>
  <c r="C14" i="10"/>
  <c r="C13" i="10"/>
  <c r="C12" i="10"/>
  <c r="C11" i="10"/>
  <c r="C10" i="10"/>
  <c r="C15" i="8" l="1"/>
  <c r="C14" i="8"/>
  <c r="C13" i="8"/>
  <c r="C12" i="8"/>
  <c r="E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<sst xmlns="http://schemas.openxmlformats.org/spreadsheetml/2006/main" count="4580" uniqueCount="1077">
  <si>
    <t>Spell Name</t>
  </si>
  <si>
    <t>Time to cast</t>
  </si>
  <si>
    <t>Range</t>
  </si>
  <si>
    <t>Duration</t>
  </si>
  <si>
    <t>Level</t>
  </si>
  <si>
    <t>Prepared</t>
  </si>
  <si>
    <t>Save</t>
  </si>
  <si>
    <t>Damage</t>
  </si>
  <si>
    <t>Link</t>
  </si>
  <si>
    <t>Remaining</t>
  </si>
  <si>
    <t>Total</t>
  </si>
  <si>
    <t>Spell Save DC</t>
  </si>
  <si>
    <t>Spell Attack</t>
  </si>
  <si>
    <t>Ability</t>
  </si>
  <si>
    <t>Upcast</t>
  </si>
  <si>
    <t>Total Prepared</t>
  </si>
  <si>
    <t>Max Prepared</t>
  </si>
  <si>
    <t>No</t>
  </si>
  <si>
    <t>Action</t>
  </si>
  <si>
    <t>School</t>
  </si>
  <si>
    <t>-</t>
  </si>
  <si>
    <t>Concentration</t>
  </si>
  <si>
    <t>VSM</t>
  </si>
  <si>
    <t>Reaction</t>
  </si>
  <si>
    <t>Bonus Action</t>
  </si>
  <si>
    <t>Size</t>
  </si>
  <si>
    <t>Languages</t>
  </si>
  <si>
    <t>Senses</t>
  </si>
  <si>
    <t>Description</t>
  </si>
  <si>
    <t>Str</t>
  </si>
  <si>
    <t>Dex</t>
  </si>
  <si>
    <t>Con</t>
  </si>
  <si>
    <t>Int</t>
  </si>
  <si>
    <t>Wis</t>
  </si>
  <si>
    <t>Cha</t>
  </si>
  <si>
    <t>HP Max</t>
  </si>
  <si>
    <t>AC</t>
  </si>
  <si>
    <t>Speed</t>
  </si>
  <si>
    <t>Attack</t>
  </si>
  <si>
    <t>Type</t>
  </si>
  <si>
    <t>To Hit</t>
  </si>
  <si>
    <t>Damage Type</t>
  </si>
  <si>
    <t>Slots</t>
  </si>
  <si>
    <t>Spell</t>
  </si>
  <si>
    <t>Time</t>
  </si>
  <si>
    <t>Class</t>
  </si>
  <si>
    <t>Equipment</t>
  </si>
  <si>
    <t>HP</t>
  </si>
  <si>
    <t>Bonus</t>
  </si>
  <si>
    <t>Remain</t>
  </si>
  <si>
    <t>Feature</t>
  </si>
  <si>
    <t>Reference</t>
  </si>
  <si>
    <t>Name</t>
  </si>
  <si>
    <t>Skill</t>
  </si>
  <si>
    <t xml:space="preserve"> </t>
  </si>
  <si>
    <t>Prof</t>
  </si>
  <si>
    <t>Death Saves</t>
  </si>
  <si>
    <t>Pass</t>
  </si>
  <si>
    <t>Fail</t>
  </si>
  <si>
    <t>Notes</t>
  </si>
  <si>
    <t>Age</t>
  </si>
  <si>
    <t>Eyes</t>
  </si>
  <si>
    <t>Height</t>
  </si>
  <si>
    <t>Weight</t>
  </si>
  <si>
    <t>Skin</t>
  </si>
  <si>
    <t>Hair</t>
  </si>
  <si>
    <t>Player</t>
  </si>
  <si>
    <t>Res DC</t>
  </si>
  <si>
    <t>Backstory</t>
  </si>
  <si>
    <t>Image Here</t>
  </si>
  <si>
    <t>Ctrl+Shift+S will switch to this page</t>
  </si>
  <si>
    <t>Personality Traits</t>
  </si>
  <si>
    <t>Ideals</t>
  </si>
  <si>
    <t>Bonds</t>
  </si>
  <si>
    <t>Flaws</t>
  </si>
  <si>
    <t>Mult</t>
  </si>
  <si>
    <t>Dmult</t>
  </si>
  <si>
    <t>D</t>
  </si>
  <si>
    <t>Add</t>
  </si>
  <si>
    <t>Appearance</t>
  </si>
  <si>
    <t>.</t>
  </si>
  <si>
    <t>Free Action</t>
  </si>
  <si>
    <t>Max Slots</t>
  </si>
  <si>
    <t>Subclass</t>
  </si>
  <si>
    <t>Insprtn</t>
  </si>
  <si>
    <t>Max</t>
  </si>
  <si>
    <t>Platinum</t>
  </si>
  <si>
    <t>Gold</t>
  </si>
  <si>
    <t>Silver</t>
  </si>
  <si>
    <t>Electrum</t>
  </si>
  <si>
    <t>Copper</t>
  </si>
  <si>
    <t>Item</t>
  </si>
  <si>
    <t>Combat</t>
  </si>
  <si>
    <t>Saving Throw</t>
  </si>
  <si>
    <t>Misc Proficiencies</t>
  </si>
  <si>
    <t>Spell Ability</t>
  </si>
  <si>
    <t>Concentrating</t>
  </si>
  <si>
    <t>Ctrl+Shift+V will switch to this sheet</t>
  </si>
  <si>
    <t>Ctrl+Shift+B will switch to this sheet</t>
  </si>
  <si>
    <t>Wizard</t>
  </si>
  <si>
    <t>Conjuration</t>
  </si>
  <si>
    <t>Yes</t>
  </si>
  <si>
    <t>Charges</t>
  </si>
  <si>
    <t>Quant/Equip?</t>
  </si>
  <si>
    <t>Benign Transport</t>
  </si>
  <si>
    <t>Darkness</t>
  </si>
  <si>
    <t>Hellish Rebuke</t>
  </si>
  <si>
    <t>Shield</t>
  </si>
  <si>
    <t>Counterspell</t>
  </si>
  <si>
    <t>Misty Step</t>
  </si>
  <si>
    <t>Fire Bolt</t>
  </si>
  <si>
    <t>Evocation</t>
  </si>
  <si>
    <t>Instant</t>
  </si>
  <si>
    <t>3d10</t>
  </si>
  <si>
    <t>VS</t>
  </si>
  <si>
    <t>Mage Hand</t>
  </si>
  <si>
    <t>1 Minute</t>
  </si>
  <si>
    <t>Message</t>
  </si>
  <si>
    <t>Transmutation</t>
  </si>
  <si>
    <t>1 Round</t>
  </si>
  <si>
    <t>Thaumaturgy</t>
  </si>
  <si>
    <t>V</t>
  </si>
  <si>
    <t>Minor Conjuration</t>
  </si>
  <si>
    <t>1 Hour</t>
  </si>
  <si>
    <t>S</t>
  </si>
  <si>
    <t>Chromatic Orb</t>
  </si>
  <si>
    <t>3d8</t>
  </si>
  <si>
    <t>Detect Magic</t>
  </si>
  <si>
    <t>Action (Ritual)</t>
  </si>
  <si>
    <t>Divination</t>
  </si>
  <si>
    <t>Self</t>
  </si>
  <si>
    <t>10 Minutes</t>
  </si>
  <si>
    <t>Mage Armor</t>
  </si>
  <si>
    <t>Abjuration</t>
  </si>
  <si>
    <t>8 Hours</t>
  </si>
  <si>
    <t>Magic Missile</t>
  </si>
  <si>
    <t>1d4+1 / dart</t>
  </si>
  <si>
    <t>Witch Bolt</t>
  </si>
  <si>
    <t>1d12</t>
  </si>
  <si>
    <t>Ray of Sickness</t>
  </si>
  <si>
    <t>Necromancy</t>
  </si>
  <si>
    <t>2d8</t>
  </si>
  <si>
    <t>CON</t>
  </si>
  <si>
    <t>Protection from Evil and Good</t>
  </si>
  <si>
    <t>VM</t>
  </si>
  <si>
    <t>2d10</t>
  </si>
  <si>
    <t>CHA</t>
  </si>
  <si>
    <t>Hold Person</t>
  </si>
  <si>
    <t>Enchantment</t>
  </si>
  <si>
    <t>WIS</t>
  </si>
  <si>
    <t>Invisibility</t>
  </si>
  <si>
    <t>Illusion</t>
  </si>
  <si>
    <t>Scorching Ray</t>
  </si>
  <si>
    <t>2d6</t>
  </si>
  <si>
    <t>Suggestion</t>
  </si>
  <si>
    <t>Dispel Magic</t>
  </si>
  <si>
    <t>Fly</t>
  </si>
  <si>
    <t>Glyph of Warding</t>
  </si>
  <si>
    <t>Infinite</t>
  </si>
  <si>
    <t>5d8</t>
  </si>
  <si>
    <t>DEX</t>
  </si>
  <si>
    <t>Haste</t>
  </si>
  <si>
    <t>Lightning Bolt</t>
  </si>
  <si>
    <t>8d6</t>
  </si>
  <si>
    <t>Major Image</t>
  </si>
  <si>
    <t>Tiny Hut</t>
  </si>
  <si>
    <t>1 Minute (Ritual)</t>
  </si>
  <si>
    <t>Fireball</t>
  </si>
  <si>
    <t>Black Tentacles</t>
  </si>
  <si>
    <t>3d6</t>
  </si>
  <si>
    <t>Dimension Door</t>
  </si>
  <si>
    <t>Phantasmal Killer</t>
  </si>
  <si>
    <t>4d10</t>
  </si>
  <si>
    <t>Sickening Radiance</t>
  </si>
  <si>
    <t>Summon Greater Demon</t>
  </si>
  <si>
    <t>Wall of Fire</t>
  </si>
  <si>
    <t>Private Sanctum</t>
  </si>
  <si>
    <t>24 Hours</t>
  </si>
  <si>
    <t>Confusion</t>
  </si>
  <si>
    <t>Danse Macabre</t>
  </si>
  <si>
    <t>Hold Monster</t>
  </si>
  <si>
    <t>Negative Energy Flood</t>
  </si>
  <si>
    <t>5d12</t>
  </si>
  <si>
    <t>Chain Lightning</t>
  </si>
  <si>
    <t>10d8</t>
  </si>
  <si>
    <t>Contingency</t>
  </si>
  <si>
    <t>10 MInutes</t>
  </si>
  <si>
    <t>10 Days</t>
  </si>
  <si>
    <t>Eyebite</t>
  </si>
  <si>
    <t>Etherealness</t>
  </si>
  <si>
    <t>Passive</t>
  </si>
  <si>
    <t>CR</t>
  </si>
  <si>
    <t>Attunmnt</t>
  </si>
  <si>
    <t>Sorcerer, Wizard</t>
  </si>
  <si>
    <t>Bard, Sorcerer, Warlock, Wizard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</si>
  <si>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</si>
  <si>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Expand</t>
  </si>
  <si>
    <t>Classes</t>
  </si>
  <si>
    <t>Components</t>
  </si>
  <si>
    <t>Spell bank</t>
  </si>
  <si>
    <t>Spell Bank Controls</t>
  </si>
  <si>
    <t>Bard, Sorcerer, Wizard</t>
  </si>
  <si>
    <t>You point your finger toward a creature within range and Whisper a message. The target (and only the target) hears the message and can reply in a Whisper that only you can hear._x000D_
_x000D_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</si>
  <si>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You manifest a minor wonder, a sign of supernatural power, within range. You create one of the following magical Effects within range._x000D_
_x000D_
• Your voice booms up to three times as loud as normal for 1 minute._x000D_
_x000D_
• You cause flames to flicker, brighten, dim, or change color for 1 minute._x000D_
_x000D_
• You cause harmless tremors in the ground for 1 minute._x000D_
_x000D_
• You create an Instantaneous sound that originates from a point of your choice within range, such as a rumble of thunder, the cry of a raven, or ominous whispers._x000D_
_x000D_
• You instantaneously cause an unlocked door or window to fly open or slam shut._x000D_
_x000D_
• You alter the appearance of your eyes for 1 minute._x000D_
_x000D_
If you cast this spell multiple times, you can have up to three of its 1-minute Effects active at a time, and you can dismiss such an Effect as an action.</t>
  </si>
  <si>
    <t>Cleric</t>
  </si>
  <si>
    <t>(School of Conjuration) Starting at 6th level, you can use your action to teleport up to 30 feet to an unoccupied space that you can see. Alternatively, you can choose a space within range that is occupied by a Small or Medium creature. If that creature is willing, you both teleport, swapping places.</t>
  </si>
  <si>
    <t>(School of Conjuration) Starting at 2nd level when you select this school, you can use your action to conjure up an inanimate object in your hand or on the ground in an unoccupied space that you can see within 10 feet of you. This object can be no larger than 3 feet on a side and weigh no more than 10 pounds, and its form must be that of a nonmagical object that you have seen. The object is visibly magical, radiating dim light out to 5 feet._x000D_
_x000D_
The object disappears after 1 hour, when you use this feature again, or if it takes any damage.</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</si>
  <si>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chose._x000D_
_x000D_
At higher levels:_x000D_
When you cast this spell using a spell slot of 2nd level or higher, the damage increases by 1d8 for each slot level above 1st.</t>
  </si>
  <si>
    <t>Bard, Cleric, Druid, Paladin, Ranger, Sorcerer, Wizard</t>
  </si>
  <si>
    <t>For the Duration, you sense the presence of magic within 30 feet of you. If you sense magic in this way, you can use your action to see a faint aura around any visible creature or object in the area that bears magic, and you learn its school of magic, if any._x000D_
_x000D_
The spell can penetrate most barriers, but is blocked by 1 foot of stone, 1 inch of Common metal, a thin sheet of lead, or 3 feet of wood or dirt.</t>
  </si>
  <si>
    <t>You touch a willing creature who isn't wearing armor, and a protective magical force surrounds it until the spell ends. The target's base AC becomes 13 + its Dexterity modifier. The spell ends it if the target dons armor or if you dismiss the spell as an action.</t>
  </si>
  <si>
    <t>You create three glowing darts of magical force. Each dart hits a creature of your choice that you can see within range. A dart deals 1d4+1 force damage to its target. The darts all strike simultaneously and you can direct them to hit one creature or several._x000D_
_x000D_
At Higher Levels:_x000D_
When you cast this spell using a spell slot of 2nd Level or higher, the spell creates one more dart for each slot above 1st.</t>
  </si>
  <si>
    <t>An Invisible barrier of magical force appears and protects you. Until the start of your next turn, you have a +5 bonus to AC, including against the triggering Attack, and you take no damage from Magic Missile.</t>
  </si>
  <si>
    <t>Sorcerer, Warlock, Wizard</t>
  </si>
  <si>
    <t>A beam of crackling, blue energy lances out toward a creature within range, forming a sustained arc of lightning between you and the target._x000D_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you._x000D_
_x000D_
At higher levels:_x000D_
When you cast this spell using a spell slot of 2nd level or higher, the initial damage increases by 1d12 for each slot level above 1st.</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</si>
  <si>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turn._x000D_
_x000D_
At higher levels:_x000D_
When you cast this spell using a spell slot of 2nd level or higher, the damage increases by 1d8 for each slot level above 1st.</t>
  </si>
  <si>
    <t>Cleric, Paladin, Warlock, Wizard</t>
  </si>
  <si>
    <t>Until the spell ends, one willing creature you touch is protected against certain types of creatures - Aberrations, Celestials, Elementals, fey, Fiends, and Undead._x000D_
_x000D_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</si>
  <si>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Magical darkness spreads from a point you choose within range to fill a 15-foot radius Sphere for the Duration. The darkness spreads around corners. A creature with Darkvision can't see through this darkness, and nonmagical light can't illuminate it._x000D_
_x000D_
If the point you choose is on an object you are holding or one that isn't being worn or carried, the darkness emanates from the object and moves with it. Completely covering the source of the darkness with an opaque object, such as a bowl or a helm, blocks the darkness._x000D_
_x000D_
If any of this spell's area overlaps with an area of light created by a spell of 2nd Level or lower, the spell that created the light is dispelled.</t>
  </si>
  <si>
    <t>VSM 50gp Diamond</t>
  </si>
  <si>
    <t>Warlock</t>
  </si>
  <si>
    <t>You point your finger, and the creature that damaged you is momentarily surrounded by hellish flames. The creature must make a Dexterity saving throw. It takes 2d10 fire damage on a failed save, or half as much damage on a successful one._x000D_
_x000D_
At Higher Levels:_x000D_
When you cast this spell using a spell slot of 2nd Level or higher, the damage increases by 1d10 for each slot level above 1st.</t>
  </si>
  <si>
    <t>Bard, Cleric, Druid, Sorcerer, Warlock, Wizard</t>
  </si>
  <si>
    <t>Choose a Humanoid that you can see within range. The target must succeed on a Wisdom saving throw or be Paralyzed for the Duration. At the end of each of its turns, the target can make another Wisdom saving throw. On a success, the spell ends on the target._x000D_
_x000D_
At Higher Levels:_x000D_
When you cast this spell using a spell slot of 3rd Level or higher, you can target on additional Humanoid for each slot level above 2nd. The Humanoids must be within 30 feet of each other when you target them.</t>
  </si>
  <si>
    <t>A creature you touch becomes Invisible until the spell ends. Anything the target is wearing or carrying is Invisible as long as it is on the target's person. The spell ends for a target that attacks or casts a spell._x000D_
_x000D_
At Higher Levels:_x000D_
When you cast this spell using a spell slot of 3rd Level or higher, you can target one additional creature for each slot level above 2nd.</t>
  </si>
  <si>
    <t>Briefly surrounded by silvery mist, you Teleport up to 30 feet to an unoccupied space that you can see.</t>
  </si>
  <si>
    <t>You create three rays of fire and hurl them at Targets within range. You can hurl them at one target or several._x000D_
_x000D_
Make a ranged spell Attack for each ray. On a hit, the target takes 2d6 fire damage._x000D_
_x000D_
At Higher Levels:_x000D_
When you cast this spell using a spell slot of 3rd Level or higher, you create one additional ray for each slot level above 2nd.</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</si>
  <si>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spell._x000D_
_x000D_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do._x000D_
_x000D_
You can also specify Conditions that will trigger a Special activity during the Duration. For example, you might suggest that a Knight give her Warhorse to the first Beggar she meets. If the condition isn't met before the spell expires, the activity isn't preformed._x000D_
_x000D_
If you or any of your companions damage the target, the spell ends.</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</si>
  <si>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Effect._x000D_
_x000D_
At Higher Levels:_x000D_
When you cast this spell using a spell slot of 4th Level or higher, the interrupted spell has no Effect if its level is less than or equal to the level of the spell slot you used.</t>
  </si>
  <si>
    <t>Bard, Cleric, Druid, Paladin, Sorcerer, Warlock, Wizard</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</si>
  <si>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ends._x000D_
_x000D_
At Higher Levels:_x000D_
When you cast this spell using a spell slot of 4th Level or higher, you automatically end the Effects of a spell on the target if the spell's level is equal to or less than the level of the spell slot you used.</t>
  </si>
  <si>
    <t>You touch a willing creature. The target gains a flying speed of 60 feet for the Duration. When the spell ends, the target falls if it is still aloft, unless it can stop the fall._x000D_
_x000D_
At Higher Levels:_x000D_
When you cast this spell using a spell slot of 4th Level or higher, you can target one additional creature for each slot level above 3rd.</t>
  </si>
  <si>
    <t>Bard, Cleric, Wizard</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</si>
  <si>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triggered._x000D_
_x000D_
The glyph is nearly Invisible and requires a successful Intelligence (Investigation) check against your spell save DC to be found._x000D_
_x000D_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ends._x000D_
_x000D_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password._x000D_
_x000D_
When you inscribe the glyph, choose explosive runes or a spell glyph._x000D_
_x000D_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one._x000D_
_x000D_
Spell Glyph: You can store a prepared spell of 3rd Level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Duration._x000D_
_x000D_
At Higher Levels:_x000D_
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</si>
  <si>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VSM 200gp Powdered diamond, consumed</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</si>
  <si>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action._x000D_
_x000D_
When the spell ends, the target can't move or take Actions until after its next turn, as a wave of lethargy sweeps over it.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</si>
  <si>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one._x000D_
_x000D_
The lightning ignites flammable Objects in the area that aren't being worn or carried._x000D_
_x000D_
At Higher Levels:_x000D_
When you cast this spell using a spell slot of 4th Level or higher, the damage increases by 1d6 for each slot above 3rd.</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</si>
  <si>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stench)._x000D_
_x000D_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creature._x000D_
_x000D_
At Higher Levels:_x000D_
When you cast this spell using a spell slot of 6th level or higher, the spell lasts until dispelled, without requiring your Concentration.</t>
  </si>
  <si>
    <t>Bard, Wizard</t>
  </si>
  <si>
    <t>A 10-foot-radius immobile dome of force springs into existence around and above you and remains stationary for the Duration. The spell ends if you leave its area._x000D_
_x000D_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outside._x000D_
_x000D_
Until the spell ends, you can command⁠ the interior to become dimly lit or dark. The dome is opaque from the outside, of any color you choose, but it is transparent from the inside.</t>
  </si>
  <si>
    <t>A bright streak flashes from your pointing finger to a point you choose within range then blossoms with a low roar into an explosion of flame. Each creature in a 20-foot radius Sphere centered on that point must make a Dexterity saving throw. A target takes 8d6 fire damage on a failed save, or half as much damage on a successful one._x000D_
_x000D_
The fire spreads around corners. It ignites flammable Objects in the area that aren't being worn or carried._x000D_
_x000D_
At Higher Levels:_x000D_
When you cast this spell using a spell slot of 4th Level or higher, the damage increases by 1d6 for each slot level above 3rd.</t>
  </si>
  <si>
    <t>Squirming, ebony tentacles fill a 20-foot square on ground that you can see within range. For the Duration, these tentacles turn the ground in the area into Difficult Terrain._x000D_
_x000D_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damage._x000D_
_x000D_
A creature Restrained by the tentacles can use its action to make a Strength or Dexterity check (its choice) against your spell save DC. On a success, it frees itself.</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</si>
  <si>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feet._x000D_
_x000D_
You can bring along Objects as long as their weight doesn't exceed what you can carry. You can also bring one willing creature of your size or smaller who is carrying gear up to its carrying Capacity. The creature must be within 5 feet of you when you cast this spell._x000D_
_x000D_
If you would arrive in a place already occupied by an object or a creature, you and any creature traveling with you each take 4d6 force damage, and the spell fails to Teleport you.</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</si>
  <si>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ends._x000D_
_x000D_
At Higher Levels:_x000D_
When you cast this spell using a spell slot of 5th Level or higher, the damage increases by 1d10 for each slot level above 4th.</t>
  </si>
  <si>
    <t>Dim, greenish light spreads within a 30-foot-radius sphere centered on a point you choose within range. The light spreads around corners, and it lasts until the spell ends._x000D_
_x000D_
When a creature moves into the spell’s area for the first time on a turn or starts its turn there, that creature must succeed on a Constitution saving throw or take 4d10 radiant damage, and it suffers one level of exhaustion and emits a dim, greenish light in a 5-foot radius. This light makes it impossible for the creature to benefit from being invisible. The light and any levels of exhaustion caused by this spell go away when the spell ends.</t>
  </si>
  <si>
    <t>Warlock, Wizard</t>
  </si>
  <si>
    <t>You utter foul words, summoning one demon from the chaos of the Abyss. You choose the demon’s type, which must be one of challenge rating 5 or lower, such as a shadow demon or a barlgura. The demon appears in an unoccupied space you can see within range, and the demon disappears when it drops to 0 hit points or when the spell ends._x000D_
_x000D_
Roll initiative for the demon, which has its own turns. When you summon it and on each of your turns thereafter, you can issue a verbal command to it (requiring no action on your part), telling it what it must do on its next turn. If you issue no command, it spends its turn attacking any creature within reach that has attacked it._x000D_
_x000D_
At the end of each of the demon’s turns, it makes a Charisma saving throw. The demon has disadvantage on this saving throw if you say its true name. On a failed save, the demon continues to obey you. On a successful save, your control of the demon ends for the rest of the duration, and the demon spends its turns pursuing and attacking the nearest non-demons to the best of its ability. If you stop concentrating on the spell before it reaches its full duration, an uncontrolled demon doesn’t disappear for 1d6 rounds if it still has hit points._x000D_
_x000D_
As part of casting the spell, you can form a circle on the ground with the blood used as a material component. The circle is large enough to encompass your space. While the spell lasts, the summoned demon can’t cross the circle or harm it, and it can’t target anyone within it. Using the material component in this manner consumes it when the spell ends._x000D_
_x000D_
At higher levels:_x000D_
When you cast this spell using a spell slot of 5th level or higher, the challenge rating increases by 1 for each slot level above 4th.</t>
  </si>
  <si>
    <t>Druid, Sorcerer, Wizard</t>
  </si>
  <si>
    <t>You create a wall of fire on a solid surface within range. You can make the wall up to 60 feet long, 20 feet high, and 1 foot think, or a ringed wall up to 20 feet in diameter, 20 feet high, and 1 foot thick. The wall is opaque and lasts for the Duration._x000D_
_x000D_
When the wall appears, each creature within its area must make a Dexterity saving throw. On a failed save, a creature takes 5d8 fire damage, or half as much damage on a successful save._x000D_
_x000D_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damage._x000D_
_x000D_
At Higher Levels:_x000D_
When you cast this spell using a spell slot of 5th Level or higher, the damage increases by 1d8 for each slot level above 4th.</t>
  </si>
  <si>
    <t>You make an area within range magically secure. The area is a cube that can be as small as 5 feet to as large as 100 feet on each side. The spell lasts for the Duration or until you use an action to dismiss it._x000D_
_x000D_
When you cast the spell, you decide what sort of security the spell provides, choosing any or all of the following properties._x000D_
_x000D_
• Sound can't pass through the barrier at the edge of the warded area._x000D_
_x000D_
• The barrier of the warded area appears dark and foggy, preventing vision (including darkvision) through it._x000D_
_x000D_
• Sensors created by Divination Spells can't appear inside the protected area or pass through the barrier at its perimeter._x000D_
_x000D_
• Creatures in the area can't be targeted by Divination Spells._x000D_
_x000D_
• Nothing can Teleport into or out of the warded area._x000D_
_x000D_
• Planar Travel is blocked within the warded area._x000D_
_x000D_
Casting this spell on the same spot every day for a year makes this Effect permanent._x000D_
_x000D_
At Higher Levels:_x000D_
When you cast this spell using a spell slot of 5th Level or higher, you can increase the size of the cube by 100 feet for each slot level beyond 4th. Thus you could protect a cube that can be up to 200 feet on one side by using a spell slot of 5th Level.</t>
  </si>
  <si>
    <t>Bard, Druid, Sorcerer, Wizard</t>
  </si>
  <si>
    <t>This spell assaults and twists creatures' minds, spawning delusions and provoking uncontrolled Actions. Each creature in a 10-foot-radius Sphere centered on a point you choose within range must succeed on a Wisdom saving throw when you cast this spell or be affected by it._x000D_
_x000D_
An affected target can't take Reactions and must roll a d10 at the start of each of its turns to determine its behavior for that turn._x000D_
_x000D_
1: The creature uses all its Movement to move in a random direction. To determine the direction, roll a d8 and assign a direction to each die face. The creature doesn't take an action this turn._x000D_
_x000D_
2-6: The creature doesn't move or take Actions this turn._x000D_
_x000D_
7-8: The creature uses its action to make a melee Attack against a randomly determined creature within its reach. If there is no creature within its reach, the creature does nothing this turn._x000D_
_x000D_
9-10: The creature can act and move normally._x000D_
_x000D_
At the end of its turns, an affected target can make a Wisdom saving throw. If it succeeds, this Effect ends for that target._x000D_
_x000D_
At Higher Levels:_x000D_
When you cast this spell using a spell slot of 5th Level or higher, the radius of the Sphere increases by 5 feet for each slot above 4th.</t>
  </si>
  <si>
    <t>Threads of dark power leap from your fingers to pierce up to five Small or Medium corpses you can see within range. Each corpse immediately stands up and becomes undead. You decide whether it is a zombie or a skeleton (the statistics for zombies and skeletons are in the Monster Manual), and it gains a bonus to its attack and damage rolls equal to your spellcasting ability modifier. You can use a bonus action to mentally command the creatures you make with this spell, issuing the same command to all of them. To receive the command, a creature must be within 60 feet of you. You decide what action the creatures will take and where they will move during their next turn, or you can issue a general command, such as to guard a chamber or passageway against your foes. lfyou issue no commands, the creatures do nothing except defend themselves against hostile creatures. Once given an order, the creatures continue to follow it until their task is complete._x000D_
_x000D_
The creatures are under your control until the spell ends, after which they become inanimate once more._x000D_
_x000D_
At higher levels:_x000D_
When you cast this spell using a spell slot‘ of 6th level or higher, you animate up to two additional corpses for each slot level above 5th.</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</si>
  <si>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target._x000D_
_x000D_
At Higher Levels:_x000D_
When you cast this spell using a spell slot of 6th level or higher, you can target on additional creature for each slot level above 5th. The creatures must be within 30 feet of each other when you target them.</t>
  </si>
  <si>
    <t xml:space="preserve">You send ribbons of negative energy at one creature you can see within range. Unless the target is undead, it must make a Constitution saving throw, taking 5d12 necrotic damage on a failed save, or half as much damage on a successful one. A target killed by this damage rises up as a zombie at the start of your next turn. The zombie pursues whatever creature it can see that is closest to it. Statistics for the zombie are in the Monster Manual. If you target an undead with this spell, the target doesn’t make a saving throw. Instead, roll 5d12. The target gains half the total as temporary hit points._x000D_
_x000D_
</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</si>
  <si>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bolts._x000D_
_x000D_
A target must make a Dexterity saving throw. The target takes 10d8 lightning damage on a failed save, or half as much on a successful one._x000D_
_x000D_
At Higher Levels:_x000D_
When you cast this spell using a spell slot of 7th level or higher, one additional bolt leaps from the first target to another target for each slot level above 6th.</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</si>
  <si>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Eyebite._x000D_
_x000D_
Asleep: The target falls Unconscious. It wakes up if it takes any damage or if another creature uses its action to shake the sleeper awake._x000D_
_x000D_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ends._x000D_
_x000D_
Sickened: The target has disadvantage on Attack rolls and Ability Checks. At the end of each of its turns, it can make another Wisdom saving throw. If it succeeds, the Effect ends.</t>
  </si>
  <si>
    <t>Bard, Cleric, Sorcerer, Warlock, Wizard</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</si>
  <si>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away._x000D_
_x000D_
While on the Ethereal Plane, you can only affect and be affected by other creatures on that plane. Creatures that aren't on the Ethereal Plane can't perceive you and can't interact with you, unless a Special ability or magic has given them the ability to do so._x000D_
_x000D_
You ignore all Objects and Effects that aren't on the Ethereal Plane, allowing you to move through Objects you perceive on the plan you originated from._x000D_
_x000D_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moved._x000D_
_x000D_
This spell has no Effect if you cast it while you are on the Ethereal Plane or a plane that doesn't border it, such as one of the Outer Planes._x000D_
_x000D_
At Higher Levels:_x000D_
When you cast this spell using a spell slot of 8th level or higher, you can target up to three willing creatures (including you) for each slot level above 7th. The creatures must be within 10 feet of you when you cast the spell.</t>
  </si>
  <si>
    <t>Cone of Cold</t>
  </si>
  <si>
    <t>60 Cone</t>
  </si>
  <si>
    <t>8d8</t>
  </si>
  <si>
    <t>A blast of cold air erupts from your hands. Each creature in a 60-foot cone must make a Constitution saving throw. A creature takes 8d8 cold damage on a failed save, or half as much damage on a successful one._x000D_
_x000D_
A creature killed by this spell becomes a frozen statue until it thaws._x000D_
_x000D_
At Higher Levels:_x000D_
When you cast this spell using a spell slot of 6th level or higher, the damage increases by 1d8 for each slot level above 5th.</t>
  </si>
  <si>
    <t>Druid, Ranger, Sorcerer, Wizard</t>
  </si>
  <si>
    <t>Fog Cloud</t>
  </si>
  <si>
    <t>You create a 20-foot-radius Sphere of fog centered on a point within range. The Sphere spreads around corners, and its area is heavily obscured. It lasts for the Duration or until a wind of moderate or greater speed (at least 10 miles per hour) disperses it._x000D_
_x000D_
At Higher Levels:_x000D_
When you cast this spell using a spell slot of 2nd Level or higher, the radius of the fog increases by 20 feet for each slot level above 1st.</t>
  </si>
  <si>
    <t>Ice Storm</t>
  </si>
  <si>
    <t>2d8 + 4d6</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</si>
  <si>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one._x000D_
_x000D_
Hailstones turn the storm's area of Effect into Difficult Terrain until the end of your next turn._x000D_
_x000D_
At Higher Levels:_x000D_
When you cast this spell using a spell slot of 5th Level or higher, the bludgeoning damage increases by 1d8 for each slot level above 4th.</t>
  </si>
  <si>
    <t>Wall of Ice</t>
  </si>
  <si>
    <t>10d6</t>
  </si>
  <si>
    <t>You create a wall of ice on a solid surface within range. You can form it into a hemispherical dome or a Sphere with radius of up to 10 feet, or you can shape a flat surface made up of ten 10-foot-square panels. Each panel must be contiguous with another panel. In any form, the wall is 1 foot thick and lasts for the Duration._x000D_
_x000D_
If the wall cuts through a creature's space when it appears, the creature within its area is pushed to one side of the wall and must make a Dexterity saving throw. On a failed save, the creature takes 10d6 cold damage, or half as much damage on a successful save._x000D_
_x000D_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one._x000D_
_x000D_
At Higher Levels:_x000D_
When you cast this spell using a spell slot of 7th level or higher, the damage the wall deals when it appears increases by 2d6, and the damage from passing through the sheet of frigid air increases by 1d6 for each slot level above 6th.</t>
  </si>
  <si>
    <t>Prestidigitation</t>
  </si>
  <si>
    <t>This spell is a minor magical trick that novice spellcasters use for practice. You create one of the following magical Effects within range._x000D_
_x000D_
• You create an Instantaneous, harmless sensory Effect, such as a shower of sparks, a puff of wind, faint musical notes, or an odd odor._x000D_
_x000D_
• You instantaneously light or snuff out a Candle, a torch, or a small campfire._x000D_
_x000D_
• You instantaneously clean or soil an object no larger than 1 cubic foot._x000D_
_x000D_
• You chill, warm, or flavor up to 1 cubic foot of nonliving material for 1 hour._x000D_
_x000D_
• You make a color, a small mark, or a Symbol appear on an object or a surface for 1 hour._x000D_
_x000D_
• You create a nonmagical trinket or an illusory image that can fit in your hand and that lasts until the end of your next turn._x000D_
_x000D_
If you cast this spell multiple times, you can have up to three of its non-instantaneous Effects active at a time, and you can dismiss such an Effect as an action.</t>
  </si>
  <si>
    <t>Thunderwave</t>
  </si>
  <si>
    <t>15 cube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</si>
  <si>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pushed._x000D_
_x000D_
In addition, unsecured Objects that are completely within the area of Effect are automatically pushed 10 feet away from you by the spell's Effect, and the spell emits a thunderous boom audible out to 300 feet._x000D_
_x000D_
At Higher Levels: When you cast this spell using a spell slot of 2nd Level or higher, the damage increases by 1d8 for each slot level above 1st.</t>
  </si>
  <si>
    <t>Comprehend Languages</t>
  </si>
  <si>
    <t>For the Duration, you understand the literal meaning of any spoken language that you hear. You also understand any written language that you see, but you must be touching the surface on which the words are written. It takes about 1 minute to read one page of text._x000D_
_x000D_
This spell doesn’t decode Secret messages in a text or a glyph, such as an arcane sigil, that isn’t part of a written language.</t>
  </si>
  <si>
    <t>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</si>
  <si>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affected._x000D_
_x000D_
At the end of each of its turns, and each time it takes damage, the target can make another Wisdom saving throw. The target has advantage on the saving throw if it's triggered by damage. On a success, the spell ends.</t>
  </si>
  <si>
    <t>False Life</t>
  </si>
  <si>
    <t>1d4+4</t>
  </si>
  <si>
    <t>Bolstering yourself with a necromantic facsimile of life, you gain 1d4+4 Temporary Hit Points for the Duration._x000D_
_x000D_
At Higher Levels:_x000D_
When you cast this spell using a spell slot of 2nd Level or higher, you gain 5 additional Temporary Hit Points for each slot level above 1st.</t>
  </si>
  <si>
    <t>Color Spray</t>
  </si>
  <si>
    <t>6d10</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</si>
  <si>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see)._x000D_
_x000D_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affected._x000D_
_x000D_
At Higher Levels:_x000D_
When you cast this spell using a spell slot of 2nd Level or higher, roll an additional 2d10 for each slot level above 1st.</t>
  </si>
  <si>
    <t>Druid, Wizard</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</si>
  <si>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</si>
  <si>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one._x000D_
_x000D_
As a Bonus Action, you can move the Sphere up to 30 feet. If you ram the Sphere into a creature, that creature must make the saving throw against the sphere's damage, and the Sphere stops moving this turn._x000D_
_x000D_
When you move the Sphere, you can direct it over barriers up to 5 feet tall and jump it across pits up to 10 feet wide. The Sphere ignites flammable Objects not being worn or carried, and it sheds bright light in a 20-foot radius and dim light for an additional 20 feet._x000D_
_x000D_
At Higher Levels:_x000D_
When you cast this spell using a spell slot of 3rd Level or higher, the damage increases by 1d6 for each slot level above 2nd.</t>
  </si>
  <si>
    <t>Knock</t>
  </si>
  <si>
    <t>Choose an object that you can see within range. The object can be a door, a box, a chest, a set of Manacles, a padlock, or another object that contains a mundane or magical means that prevents access._x000D_
_x000D_
A target that is held shut by a mundane lock or that is stuck or barred becomes unlocked, unstuck, or unbarred. If the object has multiple locks, only one of them is unlocked._x000D_
_x000D_
If you choose a target that is held shut with Arcane Lock, that spell is suppressed for 10 minutes, during which time the target can be opened and shut normally._x000D_
_x000D_
When you cast the spell, a loud knock, audible from as far away as 300 feet, emanates from the target object.</t>
  </si>
  <si>
    <t>Paladin, Wizard</t>
  </si>
  <si>
    <t>Magic Weapon</t>
  </si>
  <si>
    <t>Touch</t>
  </si>
  <si>
    <t>You touch a nonmagical weapon. Until the spell ends, that weapon becomes a magic weapon with a +1 bonus to Attack rolls and Damage Rolls._x000D_
_x000D_
At Higher Levels:_x000D_
When you cast this spell using a spell slot of 4th Level or higher, the bonus increases to +2. When you use a spell slot of 6th level or higher, the bonus increases to +3.</t>
  </si>
  <si>
    <t>Minor Illusion</t>
  </si>
  <si>
    <t>You create a sound or an image of an object within range that lasts for the Duration. The Illusion also ends if you dismiss it as an action or cast this spell again._x000D_
_x000D_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ends._x000D_
_x000D_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it._x000D_
_x000D_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</si>
  <si>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Acid Splash</t>
  </si>
  <si>
    <t>1d6 (level)</t>
  </si>
  <si>
    <t>You hurl a bubble of acid. Choose one creature within range, or choose two creatures within range that are within 5 feet of each other. A target must succeed on a Dexterity saving throw or take 1d6 acid damage._x000D_
_x000D_
This spell's damage increases by 1d6 when you reach 5th Level (2d6), 11th level (3d6) and 17th level (4d6).</t>
  </si>
  <si>
    <t>Chill Touch</t>
  </si>
  <si>
    <t>1d8 (level)</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</si>
  <si>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target._x000D_
_x000D_
If you hit an Undead target, it also has disadvantage on Attack rolls against you until the end of your next turn._x000D_
_x000D_
This spell's damage increases by 1d8 when you reach 5th Level (2d8), 11th level (3d8), and 17th level (4d8).</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</si>
  <si>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</si>
  <si>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radius._x000D_
_x000D_
As a Bonus Action on Your Turn, you can move the lights up to 60 feet to a new spot within range. A light must be within 20 feet of another light created by this spell, and a light winks out if it exceeds the spell's range.</t>
  </si>
  <si>
    <t>Light</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</si>
  <si>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action._x000D_
_x000D_
If you target an object held or worn by a Hostile creature, that creature must succeed on a Dexterity saving throw to avoid the spell.</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</si>
  <si>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</si>
  <si>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damage._x000D_
_x000D_
This spell can physically repair a magic item or Construct, but the spell can't restore magic to such an object.</t>
  </si>
  <si>
    <t>Poison Spray</t>
  </si>
  <si>
    <t>1d10 (Level)</t>
  </si>
  <si>
    <t>You extend your hand toward a creature you can see within range and project a puff of noxious gas from your palm. The creature must succeed on a Constitution saving throw or take 1d12 poison damage._x000D_
_x000D_
This spell's damage increases by 1d12 when you reach 5th Level (2d12), 11th level (3d12), and 17th level (4d12).</t>
  </si>
  <si>
    <t>Ray of Frost</t>
  </si>
  <si>
    <t>1d8 (Level)</t>
  </si>
  <si>
    <t>A frigid beam of blue-white light streaks toward a creature within range. Make a ranged spell Attack against the target. On a hit, it takes 1d8 cold damage, and its speed is reduced by 10 feet until the start of your next turn._x000D_
_x000D_
The spell's damage increases by 1d8 when you reach 5th Level (2d8), 11th level (3d8), and 17th level (4d8).</t>
  </si>
  <si>
    <t>Shocking Grasp</t>
  </si>
  <si>
    <t>1d8</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</si>
  <si>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turn._x000D_
_x000D_
The spell's damage increases by 1d8 when you reach 5th Level (2d8), 11th level (3d8), and 17th level (4d8).</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</si>
  <si>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</si>
  <si>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</si>
  <si>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</si>
  <si>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audible._x000D_
_x000D_
A mental alarm alerts you with a ping in your mind if you are within 1 mile of the warded area. This ping awakens you if you are sleeping._x000D_
_x000D_
An audible alarm produces the sound of a hand bell for 10 seconds within 60 feet.</t>
  </si>
  <si>
    <t>Burning Hands</t>
  </si>
  <si>
    <t>15 Cone</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</si>
  <si>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one._x000D_
_x000D_
The fire ignites any flammable Objects in the area that aren't being worn or carried._x000D_
_x000D_
At Higher Levels: When you cast this spell using a spell slot of 2nd Level or higher, the damage increases by 1d6 for each slot level above 1st.</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</si>
  <si>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</si>
  <si>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you._x000D_
_x000D_
At Higher Levels:_x000D_
When you cast this spell using a spell slot of 2nd Level or higher, you can target one additional creature for each slot level above 1st. The creatures must be within 30 feet of each other when you target them.</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</si>
  <si>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</si>
  <si>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you._x000D_
_x000D_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midair._x000D_
_x000D_
To discern that you are disguised, a creature can use its action to inspect your appearance and must succeed on an Intelligence (Investigation) check against your spell save DC.</t>
  </si>
  <si>
    <t>Expeditious Retreat</t>
  </si>
  <si>
    <t>This spell allows you to move at an incredible pace. When you cast this spell, and then as a Bonus Action on each of your turns until the spell ends, you can take the Dash action.</t>
  </si>
  <si>
    <t>Feather Fall</t>
  </si>
  <si>
    <t>1 minute</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</si>
  <si>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</si>
  <si>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Find Familiar</t>
  </si>
  <si>
    <t>VSM 10gp charcoal, incense, herbs (consumed)</t>
  </si>
  <si>
    <t>You gain the service of a familiar, a spirit that takes an animal form you choose: bat, cat, crab, frog (toad), hawk, Lizard, Octopus, owl, Poisonous Snake, fish (quipper), rat, raven, Sea Horse, Spider, or Weasel. Appearing in an unoccupied space within range, the familiar has the Statistics of the chosen form, though it is a Celestial, fey, or fiend (your choice) instead of a beast._x000D_
_x000D_
Your familiar acts independently of you, but it always obeys your commands. In Combat, it rolls its own Initiative and acts on its own turn. A familiar can't Attack, but it can take other Actions as normal._x000D_
_x000D_
When the familiar drops to 0 Hit Points, it disappears, leaving behind no physical form. It reappears after you cast this spell again._x000D_
_x000D_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Senses._x000D_
_x000D_
As an action, you can temporarily dismiss your familiar. It disappears into a pocket dimension where it awaits your summons. Alternatively, you can dismiss it forever. As an action while it is temporarily dismissed, you can cause it to reappear in any unoccupied space within 30 feet of you._x000D_
_x000D_
You can't have more than one familiar at a time. If you cast this spell while you already have a familiar, you instead cause it to adopt a new form. Choose one of the forms from the above list. Your familiar transforms into the chosen creature._x000D_
_x000D_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</si>
  <si>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</si>
  <si>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ground._x000D_
_x000D_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bottom._x000D_
_x000D_
If you move more than 100 feet from the disk (typically because it can't move around an obstacle to follow you), the spell ends.</t>
  </si>
  <si>
    <t>Grease</t>
  </si>
  <si>
    <t>Slick grease covers the ground in a 10-foot square centered on a point within range and turns it into Difficult Terrain for the Duration._x000D_
_x000D_
When the grease appears, each creature standing in its area must succeed on a Dexterity saving throw or fall prone. A creature that enters the area or ends its turn there must also succeed on a Dexterity saving throw or fall prone.</t>
  </si>
  <si>
    <t>Identify</t>
  </si>
  <si>
    <t>VSM 100gp pearl</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</si>
  <si>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it._x000D_
_x000D_
If you instead touch a creature throughout the casting, you learn what Spells, if any, are currently affecting it.</t>
  </si>
  <si>
    <t>Illusory Script</t>
  </si>
  <si>
    <t>SM 10gp lead-based ink (consumed)</t>
  </si>
  <si>
    <t>You write on Parchment, paper, or some other suitable writing material and imbue it with a potent Illusion that lasts for the Duration._x000D_
_x000D_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know._x000D_
_x000D_
Should the spell be dispelled, the original script and the Illusion both disappear._x000D_
_x000D_
A creature with Truesight can read the hidden Message.</t>
  </si>
  <si>
    <t>Jump</t>
  </si>
  <si>
    <t>You touch a creature. The creature's jump distance is tripled until the spell ends.</t>
  </si>
  <si>
    <t>Longstrider</t>
  </si>
  <si>
    <t>You touch a creature. The target's speed increases by 10 feet until the spell ends._x000D_
_x000D_
At Higher Levels:_x000D_
When you cast this spell using a spell slot of 2nd Level or higher, you can target one additional creature for each slot level above 1st.</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</si>
  <si>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</si>
  <si>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Effects._x000D_
_x000D_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</si>
  <si>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</si>
  <si>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creatures)._x000D_
_x000D_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affected._x000D_
_x000D_
Undead and creatures immune to being Charmed aren't affected by this spell._x000D_
_x000D_
At Higher Levels: When you cast this spell using a spell slot of 2nd Level or higher, roll an additional 2d8 for each slot level above 1st.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</si>
  <si>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</si>
  <si>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ends._x000D_
_x000D_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Command._x000D_
_x000D_
If you Command the servant to perform a task that would move it more than 60 feet away from you, the spell ends.</t>
  </si>
  <si>
    <t>Acid Arrow</t>
  </si>
  <si>
    <t>4d4</t>
  </si>
  <si>
    <t>Alter Self</t>
  </si>
  <si>
    <t>You assume a different form. When you cast the spell, choose one of the following options, the Effects of which last for the Duration of the spell. While the spell lasts, you can end one option as an action to gain the benefits of a different one._x000D_
_x000D_
Aquatic Adaptation: You adapt your body to an aquatic Environment, sprouting gills, and growing webbing between your fingers. You can breathe Underwater and gain a swimming speed equal to your walking speed._x000D_
_x000D_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again._x000D_
_x000D_
Natural Weapons: You grow claws, fangs, spines, horns, or a different natural weapon of your choice. Your unarmed strikes deal 1d6 bludgeoning, piercing, or slashing damage, as appropriate to the natural weapon you chose, and you are proficient with your unarmed strikes. Finally, the natural weapon is magic and you have a +1 bonus to the Attack and Damage Rolls you make using it.</t>
  </si>
  <si>
    <t>Arcane Lock</t>
  </si>
  <si>
    <t>Indef</t>
  </si>
  <si>
    <t>VSM 25gp gold dust (consumed)</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</si>
  <si>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minutes._x000D_
_x000D_
While affected by this spell, the object is more difficult to break or force open; the DC to break it or pick any locks on it increases by 10.</t>
  </si>
  <si>
    <t>Arcanist's Magic Aura</t>
  </si>
  <si>
    <t>You place an Illusion on a creature or an object you touch so that Divination Spells reveal false information about it. The target can be a willing creature or an object that isn't being carried or worn by another creature._x000D_
_x000D_
When you cast the spell, choose one or both of the following Effects. The Effect lasts for the Duration. If you cast this spell on the same creature or object every day for 30 days, placing the same Effect on it each time, the Illusion lasts until it is dispelled._x000D_
_x000D_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item._x000D_
_x000D_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</si>
  <si>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Blindness 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</si>
  <si>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ends._x000D_
_x000D_
At Higher Levels:_x000D_
When you cast this spell using a spell slot of 3rd Level or higher, you can target one additional creature for each slot level above 2nd.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</si>
  <si>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</si>
  <si>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</si>
  <si>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Continual Flame</t>
  </si>
  <si>
    <t>VSM 50gp Ruby Dust (consumed)</t>
  </si>
  <si>
    <t>A flame, equivalent in brightness to a torch, springs forth from an object that you touch. The Effect looks like a regular flame, but it creates no heat and doesn't use oxygen. A continual flame can be covered or hidden but not smothered or quenched.</t>
  </si>
  <si>
    <t>Darkvision</t>
  </si>
  <si>
    <t>You touch a willing creature to grant it the ability to see in the dark. For the Duration, that creature has Darkvision out to a range of 60 feet.</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</si>
  <si>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</si>
  <si>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unaffected._x000D_
_x000D_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ends._x000D_
_x000D_
Questions verbally directed at the target creature naturally shape the course of its thoughts, so this spell is particularly effective as part of an interrogation._x000D_
_x000D_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language._x000D_
_x000D_
Once you detect the presence of a creature in this way, you can read its thoughts for the rest of the Duration as described above, even if you can't see it, but it must still be within range.</t>
  </si>
  <si>
    <t>Enlarge 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</si>
  <si>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Effect._x000D_
_x000D_
If the target is a creature, everything it is wearing and carrying changes size with it. Any item dropped by an affected creature returns to normal size at once._x000D_
_x000D_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damage._x000D_
_x000D_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</si>
  <si>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Gentle Repose</t>
  </si>
  <si>
    <t>You touch a corpse or other remains. For the Duration, the target is protected from decay and can't become Undead._x000D_
_x000D_
The spell also effectively extends the time limit on raising the target from the dead, since days spent under the influence of this spell don't count against the time limit of Spells such as Raise Dead.</t>
  </si>
  <si>
    <t>Gust of Wind</t>
  </si>
  <si>
    <t>60 Line</t>
  </si>
  <si>
    <t>STR</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</si>
  <si>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line._x000D_
_x000D_
Any creature in the line must spend 2 feet of Movement for every 1 foot it moves when moving closer to you._x000D_
_x000D_
The gust disperses gas or vapor, and it extinguishes candles, torches, and similar unprotected flames in the area. It causes protected flames, such as those of lanterns, to dance wildly and has a 50 percent chance to extinguish them._x000D_
_x000D_
As a Bonus Action on each of your turns before the spell ends, you can change the direction in which the line blasts from you.</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</si>
  <si>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</si>
  <si>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unaffected._x000D_
_x000D_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range._x000D_
_x000D_
When the spell ends, the target floats gently to the ground if it is still aloft.</t>
  </si>
  <si>
    <t>Locate Object</t>
  </si>
  <si>
    <t>Describe or name an object that is familiar to you. You sense the direction to the object's location, as long as that object is within 1,000 feet of you. If the object is in motion, you know the direction of its Movement._x000D_
_x000D_
The spell can locate a specific object known to you, as long as you have seen it up close - within 30 feet - at least once. Alternatively, the spell can locate the nearest object of a particular kind, such as a certain kind of apparel, jewelry, furniture, tool, or weapon._x000D_
_x000D_
This spell can't locate an object if any thickness of lead, even a thin sheet, blocks a direct path between you and the object.</t>
  </si>
  <si>
    <t>Magic Mouth</t>
  </si>
  <si>
    <t>1 minute (Ritual)</t>
  </si>
  <si>
    <t>VSM 10gp Jade dust (consumed)</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</si>
  <si>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Message._x000D_
_x000D_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occurs._x000D_
_x000D_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</si>
  <si>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</si>
  <si>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duplicates._x000D_
_x000D_
Each time a creature Targets you with an Attack during the spell's Duration, roll a d20 to determine whether the Attack instead Targets one of your duplicates._x000D_
_x000D_
If you have three duplicates, you must roll a 6 or higher to change the attack's target to a duplicate. With two duplicates, you must roll an 8 or higher. With one duplicate, you must roll an 11 or higher._x000D_
_x000D_
A duplicate's AC equals 10 + your Dexterity modifier. If an Attack hits a duplicate, the duplicate is destroyed. A duplicate can be destroyed only by an Attack that hits it. It ignores all other damage and Effects. The spell ends when all three duplicates are destroyed._x000D_
_x000D_
A creature is unaffected by this spell if it can't see, if it relies on Senses other than sight, such as Blindsight, or if it can perceive illusions as false, as with Truesight.</t>
  </si>
  <si>
    <t>Ray of Enfeeblement</t>
  </si>
  <si>
    <t>A black beam of enervating energy springs from your finger toward a creature within range. Make a ranged spell Attack against the target. On a hit, the target deals only half damage with weapon attacks that use Strength until the spell ends._x000D_
_x000D_
At the end of each of the target's turns, it can make a Constitution saving throw against the spell. On a success, the spell ends.</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</si>
  <si>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</si>
  <si>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ends._x000D_
_x000D_
The extradimensional space can be reached by climbing to the top of the rope. The space can hold as many as eight Medium or smaller creatures. The rope can be pulled into the space, making the rope disappear from view outside the space._x000D_
_x000D_
Attacks and Spells can't cross through the entrance into or out of the extradimensional space, but those inside can see out of it as if through a 3-foot-by-5-foot window centered on the rope._x000D_
_x000D_
Anything inside the extradimensional space drops out when the spell ends.</t>
  </si>
  <si>
    <t>See Invisibility</t>
  </si>
  <si>
    <t>For the Duration, you see Invisible creatures and Objects as if they were visible, and you can see into the Ethereal Plane. Ethereal creatures and Objects appear ghostly and translucent.</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</si>
  <si>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</si>
  <si>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throw._x000D_
_x000D_
A nonmagical object that isn't being worn or carried also takes the damage if it's in the spell's area._x000D_
_x000D_
At Higher Levels: When you cast this spell using a spell slot of or higher, the damage increases by 1d8 for each slot level above 2nd.</t>
  </si>
  <si>
    <t>Spider Climb</t>
  </si>
  <si>
    <t>Until the spell ends, one willing creature you touch gains the ability to move up, down, and across vertical surfaces and upside down along ceilings, while leaving its hands free. The target also gains a climbing speed equal to its walking speed.</t>
  </si>
  <si>
    <t>Web</t>
  </si>
  <si>
    <t>You conjure a mass of thick, sticky webbing at a point of your choice within range. The webs fill a 20-foot cube from that point for the Duration. The webs are Difficult Terrain and lightly obscure their area._x000D_
_x000D_
If the webs aren't anchored between two solid masses (such as walls or trees) or layered across a floor, wall, or ceiling, the conjured web collapses on itself, and the spell ends at the start of your next turn. Webs layered over a flat surface have a depth of 5 feet._x000D_
_x000D_
Each creature that starts its turn in the webs or that enters them during its turn must make a Dexterity saving throw. On a failed save, the creature is Restrained as long as it remains in the webs or until it breaks free._x000D_
_x000D_
A creature Restrained by the webs can use its Actions to make a Strength check against your spell save DC. If it succeeds, it is no longer Restrained._x000D_
_x000D_
The webs are flammable. Any 5-foot cube of webs exposed to fire burns away in 1 round, dealing 2d4 fire damage to any creature that starts its turn in the fire.</t>
  </si>
  <si>
    <t>VSM 1500gp gem covered icon</t>
  </si>
  <si>
    <t>Choose a spell of 5th level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liquid._x000D_
_x000D_
The contingent spell takes Effect immediately after the circumstance is met for the first time, whether or not you want it to, and then contingency ends._x000D_
_x000D_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</si>
  <si>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_</t>
  </si>
  <si>
    <t>__</t>
  </si>
  <si>
    <t>___</t>
  </si>
  <si>
    <t>____</t>
  </si>
  <si>
    <t>Smoothie</t>
  </si>
  <si>
    <t>Void</t>
  </si>
  <si>
    <t>Theme</t>
  </si>
  <si>
    <t>Style Name</t>
  </si>
  <si>
    <t>Pattern</t>
  </si>
  <si>
    <t>Header Font</t>
  </si>
  <si>
    <t>Cell Colors</t>
  </si>
  <si>
    <t>Table Colors</t>
  </si>
  <si>
    <t>Header</t>
  </si>
  <si>
    <t>Interior</t>
  </si>
  <si>
    <t>Border</t>
  </si>
  <si>
    <t>Pattern Name</t>
  </si>
  <si>
    <t>Row1 Font</t>
  </si>
  <si>
    <t>Row1</t>
  </si>
  <si>
    <t>Row2 Font</t>
  </si>
  <si>
    <t>Row2</t>
  </si>
  <si>
    <t>TextBox</t>
  </si>
  <si>
    <t>Button</t>
  </si>
  <si>
    <t>Column</t>
  </si>
  <si>
    <t>FirstRow</t>
  </si>
  <si>
    <t>"401B5B"</t>
  </si>
  <si>
    <t>"203764"</t>
  </si>
  <si>
    <t>"6E497B"</t>
  </si>
  <si>
    <t>"002060"</t>
  </si>
  <si>
    <t>"F5F5F5"</t>
  </si>
  <si>
    <t>Font</t>
  </si>
  <si>
    <t>Header 2</t>
  </si>
  <si>
    <t>Header Blank</t>
  </si>
  <si>
    <t>Normal</t>
  </si>
  <si>
    <t>"5C005C"</t>
  </si>
  <si>
    <t>"5B9BD5"</t>
  </si>
  <si>
    <t>SpellSlots</t>
  </si>
  <si>
    <t>"000000"</t>
  </si>
  <si>
    <t>"800080"</t>
  </si>
  <si>
    <t>"990099"</t>
  </si>
  <si>
    <t>General</t>
  </si>
  <si>
    <t>"835793"</t>
  </si>
  <si>
    <t>"00F66F"</t>
  </si>
  <si>
    <t>Objects &amp; Misc Colors</t>
  </si>
  <si>
    <t>Themes</t>
  </si>
  <si>
    <t>"808080"</t>
  </si>
  <si>
    <t>"404040"</t>
  </si>
  <si>
    <t>"262626"</t>
  </si>
  <si>
    <t>"595959"</t>
  </si>
  <si>
    <t>"3A3838"</t>
  </si>
  <si>
    <t>Polar</t>
  </si>
  <si>
    <t>"006064"</t>
  </si>
  <si>
    <t>"4DD0E1"</t>
  </si>
  <si>
    <t>"00ACC1"</t>
  </si>
  <si>
    <t>"00838F"</t>
  </si>
  <si>
    <t>"26C6DA"</t>
  </si>
  <si>
    <t>"00BCD4"</t>
  </si>
  <si>
    <t>"1A237E"</t>
  </si>
  <si>
    <t>Row Highlight</t>
  </si>
  <si>
    <t>"00B0F0"</t>
  </si>
  <si>
    <t>Hit Die S#</t>
  </si>
  <si>
    <t>TextBox Font</t>
  </si>
  <si>
    <t>"01579B"</t>
  </si>
  <si>
    <t>"F57F17"</t>
  </si>
  <si>
    <t>"F9A825"</t>
  </si>
  <si>
    <t>"FFCA28"</t>
  </si>
  <si>
    <t>"FFE082"</t>
  </si>
  <si>
    <t>"E65100"</t>
  </si>
  <si>
    <t>"D84315"</t>
  </si>
  <si>
    <t>Sapphic</t>
  </si>
  <si>
    <t>"e61d25"</t>
  </si>
  <si>
    <t>"b21e6a"</t>
  </si>
  <si>
    <t>"c34e94"</t>
  </si>
  <si>
    <t>"e05aa4"</t>
  </si>
  <si>
    <t>"f46f22"</t>
  </si>
  <si>
    <t>"f7924e"</t>
  </si>
  <si>
    <t>Radiant</t>
  </si>
  <si>
    <t>Level/Type</t>
  </si>
  <si>
    <t>"F5F5F4"</t>
  </si>
  <si>
    <t>Cleric, Wizard</t>
  </si>
  <si>
    <t>Animate Dead</t>
  </si>
  <si>
    <t>10 Feet</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</si>
  <si>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statistics)._x000D_
_x000D_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one._x000D_
_x000D_
At Higher Levels: When you cast this spell using a spell slot of 4th Level or higher, you animate or reassert control over two additional Undead creatures for each slot above 3rd. Each of the creatures must come from a different corpse or pile of bones.</t>
  </si>
  <si>
    <t>Bestow Curse</t>
  </si>
  <si>
    <t>You touch a creature, and that creature must succeed on a Wisdom saving throw or become Cursed for the Duration of the spell. When you cast this spell, choose the Nature of the curse from the following options._x000D_
_x000D_
• Choose one ability score. While Cursed, the target has disadvantage on Ability Checks and Saving Throws made with that ability score._x000D_
_x000D_
• While Cursed, the target has disadvantage on Attack rolls against you._x000D_
_x000D_
• While Cursed, the target must make a Wisdom saving throw at the start of each of its turns. If it fails, it wastes its action that turn doing nothing._x000D_
_x000D_
• While the target is Cursed, your attacks and Spells deal an extra 1d8 necrotic damage to the target._x000D_
_x000D_
A Remove Curse spell ends this Effect. At the DM's option, you may choose an alternative curse Effect, but it should be no more powerful than those described above. The DM has final say on such a curse's Effect._x000D_
_x000D_
At Higher Levels:_x000D_
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</si>
  <si>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Blink</t>
  </si>
  <si>
    <t>Slef</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</si>
  <si>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action._x000D_
_x000D_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</si>
  <si>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Bard, Cleric, Sorcerer, Wizard</t>
  </si>
  <si>
    <t>Clairvoyance</t>
  </si>
  <si>
    <t>1 Mile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</si>
  <si>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with._x000D_
_x000D_
When you cast the spell, you choose seeing or hearing. You can use the chosen sense through the sensor as if you were in its space. As your action, you can switch between seeing and hearing._x000D_
_x000D_
A creature that can see the sensor (such as a creature benefitting from See Invisibility or truesight) sees a luminous, intangible orb about the size of your fist.</t>
  </si>
  <si>
    <t>Fear</t>
  </si>
  <si>
    <t>You project a phantasmal image of a creature's worst fears. Each creature in a 30-foot cone must succeed on a Wisdom saving throw or drop whatever it is holding and become Frightened for the Duration._x000D_
_x000D_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</si>
  <si>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Gaseous Form</t>
  </si>
  <si>
    <t>You transform a willing creature you touch, along with everything it's wearing and carrying, into a misty cloud for the Duration. The spell ends if the creature drops to 0 Hit Points. An incorporeal creature isn't affected._x000D_
_x000D_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Incapacitated._x000D_
_x000D_
While in the form of a misty cloud, the target can't talk or manipulate Objects, and any Objects it was carrying or holding can't be dropped, used, or otherwise interacted with. The target can't Attack or cast Spells.</t>
  </si>
  <si>
    <t>Hypnotic Pattern</t>
  </si>
  <si>
    <t>120 Feet</t>
  </si>
  <si>
    <t>SM</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</si>
  <si>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0._x000D_
_x000D_
The spell ends for an affected creature if it takes any damage or if someone else uses an action to shake the creature out of its stupor.</t>
  </si>
  <si>
    <t>Magic Circle</t>
  </si>
  <si>
    <t>You create a 10-foot-radius, 20-foot-tall Cylinder of magical energy centered on a point on the ground that you can see within range. Glowing runes appear wherever the Cylinder intersects with the floor or other surface._x000D_
_x000D_
Choose one or more of the following types of creatures - Celestials, Elementals, fey, Fiends, or Undead. The circle affects a creature of the chosen type in the following ways._x000D_
_x000D_
• The creature can't willingly enter the Cylinder by nonmagical means. If the creature tries to use teleportation or interplanar Travel to do so, it must first succeed on a Charisma saving throw._x000D_
_x000D_
• The creature has disadvantage on Attack rolls against Targets within the Cylinder._x000D_
_x000D_
• Targets within the Cylinder can't be Charmed, Frightened, or possessed by the creature._x000D_
_x000D_
When you cast this spell, you can elect to cause its magic to operate in the reverse direction, preventing a creature of the specified type from leaving the Cylinder and protecting Targets outside it._x000D_
_x000D_
At Higher Levels: When you cast this spell using a spell slot of 4th Level or higher, the Duration increases by 1 hour for each slot level above 3rd.</t>
  </si>
  <si>
    <t>Bard, Ranger, Wizard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</si>
  <si>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</si>
  <si>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</si>
  <si>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Phantom Steed</t>
  </si>
  <si>
    <t>30 Feet</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</si>
  <si>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steed._x000D_
_x000D_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</si>
  <si>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Cleric, Druid, Ranger, Sorcerer, Wizard</t>
  </si>
  <si>
    <t>Protection from Energy</t>
  </si>
  <si>
    <t>For the Duration, the willing creature you touch has Resistance to one damage type of your choice - acid, cold, fire, lightning, or thunder.</t>
  </si>
  <si>
    <t>Remove Curse</t>
  </si>
  <si>
    <t>At your touch, all curses affecting one creature or object end. If the object is a Cursed magic item, its curse remains, but the spell breaks its owner's Attunement to the object so it can be removed or discarded.</t>
  </si>
  <si>
    <t>Sending</t>
  </si>
  <si>
    <t>Unlimited</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</si>
  <si>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Message._x000D_
_x000D_
You can send the Message across any distance and even to other Planes of Existence, but if the target is on a different plane than you, there is a 5 percent chance that the Message doesn't arrive.</t>
  </si>
  <si>
    <t>Sleet Storm</t>
  </si>
  <si>
    <t>150 Feet</t>
  </si>
  <si>
    <t>Until the spell ends, freezing rain and sleet fall in a 20-foot-tall Cylinder with a 40-foot radius centered on a point you choose within range. The area is heavily obscured, and exposed flames in the area are doused._x000D_
_x000D_
The ground in the area is covered with slick ice, making it Difficult Terrain. When a creature enters the spell's area for the first time on a turn or starts its turn there, it must make a Dexterity saving throw. On a failed save, it falls prone._x000D_
_x000D_
If a creature is concentrating in the spell's area, the creature must make a successful Constitution saving throw against your spell save DC or lose Concentration.</t>
  </si>
  <si>
    <t>Slow</t>
  </si>
  <si>
    <t>You alter time around up to six creatures of your choice in a 40-foot cube within range. Each target must succeed on a Wisdom saving throw or be affected by this spell for the Duration._x000D_
_x000D_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turn._x000D_
_x000D_
If the creature attempts to Cast a Spell with a Casting Time of 1 action, roll a d20. On an 11 or higher, the spell doesn't take Effect until the creature's next turn, and the creature must use its action on that turn to complete the spell. If it can't, the spell is wasted._x000D_
_x000D_
A creature affected by this spell makes another Wisdom saving throw at the end of its turn. On a successful save, the Effect ends for it.</t>
  </si>
  <si>
    <t>Stinking Cloud</t>
  </si>
  <si>
    <t>90 Feet</t>
  </si>
  <si>
    <t>You create a 20-foot-radius Sphere of yellow, nauseating gas centered on a point within range. The cloud spreads around corners, and its area is heavily obscured. The cloud lingers in the air for the Duration._x000D_
_x000D_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throw._x000D_
_x000D_
A moderate wind (at least 10 miles per hour) disperses the cloud after 4 rounds. A strong wind (at least 20 miles per hour) disperses it after 1 round.</t>
  </si>
  <si>
    <t>Tongues</t>
  </si>
  <si>
    <t>This spell grants the creature you touch the ability to understand any spoken language it hears. Moreover, when the target speaks, any creature that knows at least one language and can hear the target understands what it says.</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</si>
  <si>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</si>
  <si>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action._x000D_
_x000D_
At Higher Levels:_x000D_
When you cast this spell using a spell slot of 4th Level or higher, the damage increases by 1d6 for each slot level above 3rd.</t>
  </si>
  <si>
    <t>Water Breathing</t>
  </si>
  <si>
    <t>This spell grants up to ten willing creatures you can see within range the ability to breathe Underwater until the spell ends. Affected creatures also retain their normal mode of respiration.</t>
  </si>
  <si>
    <t>Arcane Eye</t>
  </si>
  <si>
    <t>You create an Invisible, magical eye within range that hovers in the air for the Duration._x000D_
_x000D_
You mentally receive visual information from the eye, which has normal vision and Darkvision out to 30 feet. The eye can look in every direction._x000D_
_x000D_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</si>
  <si>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Paladin, Cleric, Sorcerer, Warlock, Wizard</t>
  </si>
  <si>
    <t>Banishment</t>
  </si>
  <si>
    <t>60 Feet</t>
  </si>
  <si>
    <t>You attempt to send one creature that you can see within range to another place of existence. The target must succeed on a Charisma saving throw or be banished._x000D_
_x000D_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occupied._x000D_
_x000D_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return._x000D_
_x000D_
At Higher Levels:_x000D_
When you cast this spell using a spell slot of 5th Level or higher, you can target one additional creature for each slot level above 4th.</t>
  </si>
  <si>
    <t>Druid, Sorcerer, Warlock, Wizard</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</si>
  <si>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</si>
  <si>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Constructs._x000D_
_x000D_
If you target a plant creature or a magical plant, it makes the saving throw with disadvantage, and the spell deals maximum damage to it._x000D_
_x000D_
If you target a nonmagical plant that isn't a creature, such as a tree or shrub, it doesn't make a saving throw, it simply withers and dies._x000D_
_x000D_
At Higher Levels:_x000D_
When you cast this spell using a spell slot of 5th Level or higher, the damage increases by 1d8 for each slot level above 4th.</t>
  </si>
  <si>
    <t>Conjure Minor Elementals</t>
  </si>
  <si>
    <t>You summon Elementals that appear in unoccupied spaces that you can see within range. You choose one the following options for what appears._x000D_
_x000D_
• One elemental of Challenge rating 2 or lower_x000D_
_x000D_
• Two Elementals of Challenge rating 1 or lower_x000D_
_x000D_
• Four Elementals of Challenge rating 1/2 or lower_x000D_
_x000D_
• Eight Elementals of Challenge rating 1/4 or lower._x000D_
_x000D_
An elemental summoned by this spell disappears when it drops to 0 Hit Points or when the spell ends._x000D_
_x000D_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Statistics._x000D_
_x000D_
At Higher Levels: When you cast this spell using certain higher-level Spell Slots, you choose one of the summoning options above, and more creatures appear - twice as many with a 6th-level slot and three times as many with an 8th-level slot</t>
  </si>
  <si>
    <t>Cleric, Druid, Wizard</t>
  </si>
  <si>
    <t>Control Water</t>
  </si>
  <si>
    <t>300 Feet</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</si>
  <si>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one._x000D_
_x000D_
Flood:_x000D_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lasts._x000D_
_x000D_
Part Water:_x000D_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restored._x000D_
_x000D_
Redirect Flow:_x000D_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Effect._x000D_
_x000D_
Whirlpool:_x000D_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</si>
  <si>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Fabricate</t>
  </si>
  <si>
    <t>You convert raw materials into products of the same material. For example, you can fabricate a wooden bridge from a clump of trees, a rope from a patch of hemp, and clothes from flax or wool._x000D_
_x000D_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materials._x000D_
_x000D_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</si>
  <si>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Faithful Hound</t>
  </si>
  <si>
    <t>4d8</t>
  </si>
  <si>
    <t>You conjure a Phantom watchdog in an unoccupied space that you can see within range, where it remains for the Duration, until you dismiss it as an action, or until you move more than 100 feet away from it._x000D_
_x000D_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illusions._x000D_
_x000D_
At the start of each of your turns, the hound attempts to bite one creature within 5 feet of it that is Hostile to you. The hound's Attack bonus is equal to your Spellcasting Ability modifier + your Proficiency Bonus. On a hit, it deals 4d8 piercing damage.</t>
  </si>
  <si>
    <t>Fire Shield</t>
  </si>
  <si>
    <t>Thin and wispy flames wreathe your body for the Duration, shedding bright light in a 10-foot radius and dim light for an additional 10 feet. You can end the spell early by using an action to dismiss it._x000D_
_x000D_
The flames provide you with a warm Shield or a chill Shield, as you choose. The warm Shield grants you Resistance to cold damage, and the chill Shield grants you Resistance to fire damage._x000D_
_x000D_
In addition, whenever a creature within 5 feet of you hits you with a melee Attack, the Shield erupts with flame. The attacker takes 2d8 fire damage from a warm Shield, or 2d8 cold damage from a cold Shield.</t>
  </si>
  <si>
    <t>Greater Invisibility</t>
  </si>
  <si>
    <t>You or a creature you touch becomes Invisible until the spell ends. Anything the target is wearing or carrying is Invisible as long as it is on the target's person.</t>
  </si>
  <si>
    <t>Bard, Druid, Warlock, Wizard</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</si>
  <si>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</si>
  <si>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appearance._x000D_
_x000D_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</si>
  <si>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Bard, Cleric, Druid, Paladin, Ranger, Wizard</t>
  </si>
  <si>
    <t>Locate Creature</t>
  </si>
  <si>
    <t>Describe or name a creature that is familiar to you. You sense the direction to the creature's location, as long as that creature is within 1,000 feet of you. If the creature is moving, you know the direction of its Movement._x000D_
_x000D_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creature._x000D_
_x000D_
This spell can't locate a creature if running water at least 10 feet wide blocks a direct path between you and the creature.</t>
  </si>
  <si>
    <t>Polymorph</t>
  </si>
  <si>
    <t>This spell transforms a creature with at least 1 hit point that you can see within range into a new form. An unwilling creature must make a Wisdom saving throw to avoid the Effect. A Shapechanger automatically succeeds on this saving throw._x000D_
_x000D_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personality._x000D_
_x000D_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Unconscious._x000D_
_x000D_
The creature is limited in the Actions it can perform by the Nature of its new form, and it can't speak, cast Spells, or take any other action that requires hands or Speech._x000D_
_x000D_
The target's gear melds into the new form. The creature can't activate, use, wield, or otherwise benefit from any of its Equipment.</t>
  </si>
  <si>
    <t>Resilient Sphere</t>
  </si>
  <si>
    <t>A Sphere of shimmering force encloses a creature or object of Large size or smaller within range. An unwilling creature must make a Dexterity saving throw. On a failed save, the creature is enclosed for the Duration._x000D_
_x000D_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it._x000D_
_x000D_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creatures._x000D_
_x000D_
A Disintegrate spell targeting the globe destroys it without harming anything inside it.</t>
  </si>
  <si>
    <t>Secret Chest</t>
  </si>
  <si>
    <t>VSM 5000gp Chest, 50gp tiny replica</t>
  </si>
  <si>
    <t>You hide a chest, and all its contents, on the Ethereal Plane. You must touch the chest and the miniature replica that serves as a material component for the spell. The chest can contain up to 12 cubic feet of nonliving material (3 feet by 2 feet by 2 feet)._x000D_
_x000D_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replica._x000D_
_x000D_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</si>
  <si>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Stone Shape</t>
  </si>
  <si>
    <t>TOuch</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</si>
  <si>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</si>
  <si>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Druid, Paladin, Ranger, Sorcerer, Wizard</t>
  </si>
  <si>
    <t>Stoneskin</t>
  </si>
  <si>
    <t>VSM 100gp Diamond (consumed)</t>
  </si>
  <si>
    <t>This spell turns the flesh of a willing creature you touch as hard as stone. Until the spell ends, the target has Resistance to nonmagical bludgeoning, piercing, and slashing damage.</t>
  </si>
  <si>
    <t>Animate Objects</t>
  </si>
  <si>
    <t>Varies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</si>
  <si>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Points._x000D_
_x000D_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Animated Object Statistics_x000D_
_x000D_
Tiny - HP: 20, AC: 18, Attack: +8 to hit, 1d4 + 4 damage, Str: 4, Dex: 18_x000D_
_x000D_
Small - HP: 25, AC: 16, Attack: +6 to hit, 1d8 + 2 damage, Str: 6, Dex: 14_x000D_
_x000D_
Medium - HP: 40, AC: 13, Attack: +5 to hit, 2d6 + 1 damage, Str: 10, Dex: 12_x000D_
_x000D_
Large - HP: 50, AC: 10, Attack: +6 to hit, 2d10 + 2 damage, Str: 14, Dex: 10_x000D_
_x000D_
Huge - HP: 80, AC: 10, Attack: +8 to hit, 2d12 + 4 damage, Str: 18, Dex: 6_x000D_
_x000D_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form._x000D_
_x000D_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form._x000D_
_x000D_
At Higher Levels:_x000D_
If you cast this spell using a spell slot of 6th level or higher, you can animate two additional Objects for each slot level above 5th.</t>
  </si>
  <si>
    <t>Arcane Hand</t>
  </si>
  <si>
    <t>You create a Large hand of shimmering, translucent force in an unoccupied space that you can see within range. The hand lasts for the spell's Duration, and it moves at your Command, mimicking the movements of your own hand._x000D_
_x000D_
The hand is an object that has AC 20 and Hit Points equal to your hit point maximum. If it drops to 0 Hit Points, the spell ends. It has a Strength of 26 (+8) and a Dexterity of 10 (+0). The hand doesn't fill its space._x000D_
_x000D_
When you cast the spell and as a Bonus Action on your subsequent turns, you can move the hand up to 60 feet and then cause one of the following Effects with it._x000D_
_x000D_
Clenched Fist. The hand strikes one creature or object within 5 feet of it. Make a melee spell Attack for the hand using your game Statistics. On a hit, the target takes 4d8 force damage._x000D_
_x000D_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it._x000D_
_x000D_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modifier._x000D_
_x000D_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target._x000D_
_x000D_
At Higher Levels:_x000D_
When you cast this spell using a spell slot of 6th level or higher, the damage from the clenched fist option increases by 2d8 and the damage from the grasping hand increases by 2d6 for each slot level above 5th.</t>
  </si>
  <si>
    <t>Cloudkill</t>
  </si>
  <si>
    <t>You create a 20-foot-radius Sphere of poisonous, yellow-green fog centered on a point you choose within range. The fog spreads around corners. It lasts for the Duration or until strong wind disperses the fog, ending the spell. Its area is heavily obscured._x000D_
_x000D_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breathe._x000D_
_x000D_
The fog moves 10 feet away from you at the start of each of your turns, rolling along the surface of the ground. The vapors, being heavier than air, sink to the lowest level of the land, even pouring down openings._x000D_
_x000D_
At Higher Levels:_x000D_
When you cast this spell using a spell slot of 6th level or higher, the damage increases by 1d8 for each slot level above 5th.</t>
  </si>
  <si>
    <t>Bard, Cleric, Druid, Sorcerer, Wizard</t>
  </si>
  <si>
    <t>Ranger, Wizard</t>
  </si>
  <si>
    <t>Bard, Druid, Sorcerer, Warlock, Wizard</t>
  </si>
  <si>
    <t>Bard, Warlock, Wizard</t>
  </si>
  <si>
    <t>Bard, Druid, Ranger, Wizard</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</si>
  <si>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</si>
  <si>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ends._x000D_
_x000D_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Actions._x000D_
_x000D_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Statistics._x000D_
_x000D_
At Higher Levels:_x000D_
When you cast this spell using a spell slot of 6th level or higher, the Challenge rating increases by 1 for each slot level above 5th.</t>
  </si>
  <si>
    <t>Contact Other Plane</t>
  </si>
  <si>
    <t>6d6</t>
  </si>
  <si>
    <t>INT</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</si>
  <si>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Effect._x000D_
_x000D_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</si>
  <si>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Creation</t>
  </si>
  <si>
    <t>Special</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</si>
  <si>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before._x000D_
_x000D_
The Duration depends on the object's material. If the object is composed of multiple materials, use the shortest Duration._x000D_
_x000D_
Material - Duration:_x000D_
Vegetable matter - 1 day_x000D_
Stone/crystal - 12 hours_x000D_
Precious metals - 1 hour_x000D_
Gems - 10 minutes_x000D_
Adamantine/Mithral - 1 minute_x000D_
_x000D_
Using any material created by this spell as another spell's material component causes that spell to fail._x000D_
_x000D_
At Higher Levels:_x000D_
When you cast this spell using a spell slot of 6th level or higher, the cube increases by 5 feet for each slot level above 5th.</t>
  </si>
  <si>
    <t>Dominate Person</t>
  </si>
  <si>
    <t>You attempt to beguile a Humanoid that you can see within range. It must succeed on a Wisdom saving throw or be Charmed by you for the Duration. If you or creatures that are friendly to you are fighting it, it has advantage on the saving throw._x000D_
_x000D_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ability._x000D_
_x000D_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well._x000D_
_x000D_
Each time the target takes damage, it makes a new Wisdom saving throw against the spell. If the saving throw succeeds, the spell ends._x000D_
_x000D_
At Higher Levels:_x000D_
When you cast this spell using a 6th-level spell slot, the Duration is Concentration, up to 10 minutes. When you use a 7th-level spell slot, the Duration is Concentration, up to 1 hour. When you use a spell slot of 8th level or higher, the Duration is Concentration, up to 8 hours.</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</si>
  <si>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</si>
  <si>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move._x000D_
_x000D_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dreams._x000D_
_x000D_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damage._x000D_
_x000D_
If you have a body part, lock of hair, clipping from a nail, or similar portion of the target's body, the target makes its saving throw with disadvantage.</t>
  </si>
  <si>
    <t>Bard, Cleric, Druid, Paladin, Wizard</t>
  </si>
  <si>
    <t>Geas</t>
  </si>
  <si>
    <t>30 Days</t>
  </si>
  <si>
    <t>5d10</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</si>
  <si>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spell._x000D_
_x000D_
You can issue any Command you choose, short of an activity that would result in certain death. Should you issue a suicidal Command, the spell ends._x000D_
_x000D_
You can end the spell early by using an action to dismiss it. A Remove Curse, Greater Restoration, or wish spell also ends it._x000D_
_x000D_
At Higher Levels:_x000D_
When you cast this spell using a spell slot of 7th or 8th level, the Duration is 1 year. When you cast this spell using a spell slot of 9th level, the spell lasts until it is ended by one of the Spells mentioned above.</t>
  </si>
  <si>
    <t>Legend Lore</t>
  </si>
  <si>
    <t>VSM 250gp Incense (consumed), 4 50gp ivory strips</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</si>
  <si>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information._x000D_
_x000D_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</si>
  <si>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Mislead</t>
  </si>
  <si>
    <t>You become Invisible at the same time that an illusory double of you appears where you are standing. The double lasts for the Duration, but the Invisibility ends if you Attack or Cast a Spell._x000D_
_x000D_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</si>
  <si>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</si>
  <si>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modified._x000D_
_x000D_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event._x000D_
_x000D_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ends._x000D_
_x000D_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manner._x000D_
_x000D_
A Remove Curse or Greater Restoration spell cast on the target restores the creature's true memory._x000D_
_x000D_
At Higher Levels:_x000D_
If you cast this spell using a spell slot of 6th level or higher, you can alter the target's memories of an event that took place up to 7 days ago (6th level), 30 days ago (7th level), 1 year ago (8th level), or any time in the creature's past (9th level).</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</si>
  <si>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</si>
  <si>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it._x000D_
_x000D_
When the opening disappears, any creatures or Objects still in the Passage created by the spell are safely ejected to an unoccupied space nearest to the surface on which you cast the spell.</t>
  </si>
  <si>
    <t>Bard, Cleric, Druid, Wizard</t>
  </si>
  <si>
    <t>Planar Binding</t>
  </si>
  <si>
    <t>VSM 1000gp Jewel (consumed)</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</si>
  <si>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spell._x000D_
_x000D_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ends._x000D_
_x000D_
At Higher Levels:_x000D_
When you cast this spell using a spell slot of a higher level, the Duration increases to 10 days with a 6th-level slot, to 30 days with a 7th-level slot, to 180 days with an 8th-level slot, and to a year and a day with a 9th-level spell slot.</t>
  </si>
  <si>
    <t>Bard, Cleric, Druid, Warlock, Wizard</t>
  </si>
  <si>
    <t>Scrying</t>
  </si>
  <si>
    <t>VSM 1000gp Focus</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</si>
  <si>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observed._x000D_
_x000D_
Knowledge - Save Modifier_x000D_
_x000D_
Secondhand (you have heard of the target) - +5_x000D_
_x000D_
Firsthand (you have met the target) +0_x000D_
Familiar (you know the target well) - -5_x000D_
_x000D_
Connection - Save Modifier_x000D_
_x000D_
Likeness or picture - -2_x000D_
_x000D_
Possession or garment - -4_x000D_
_x000D_
Body part, lock of hair, bit of nail, or the like - -10_x000D_
_x000D_
On a successful save, the target isn't affected, and you can't use this spell against it again for 24 hours._x000D_
_x000D_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fist._x000D_
_x000D_
Instead of targeting a creature, you can choose a location you have seen before as the target of this spell. When you do, the sensor appears at that location and doesn't move.</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</si>
  <si>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</si>
  <si>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spell._x000D_
_x000D_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sooner._x000D_
_x000D_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midair._x000D_
_x000D_
A creature can use its action to inspect a target and make an Intelligence (Investigation) check against your spell save DC. If it succeeds, it becomes aware that the target is disguised.</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</si>
  <si>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</si>
  <si>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spell._x000D_
_x000D_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mid-air._x000D_
_x000D_
On subsequent rounds, you can use your action to attempt to maintain your telekinetic grip on the creature by repeating the contest._x000D_
_x000D_
Object: You can try to move an object that weighs up to 1,000 pounds. If the object isn't being worn or carried, you automatically move it up to 30 feet in any direction, but not beyond the range of this spell._x000D_
_x000D_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spell._x000D_
_x000D_
You can exert fine control on Objects with your telekinetic grip, such as manipulating a simple tool, opening a door or a container, stowing or retrieving an item from an open container, or pouring the contents from a vial.</t>
  </si>
  <si>
    <t>Telepathic Bond</t>
  </si>
  <si>
    <t>You forge a telepathic link among up to eight willing creatures of your choice within range, psychically linking each creature to all the others for the Duration. Creatures with Intelligence scores of 2 or less aren't affected by this spell._x000D_
_x000D_
Until the spell ends, the targets⁠ can communicate telepathically through the bond whether or not they have a common⁠ language. The communication⁠ is possible over any distance, though it can't extend to other Planes of Existence.</t>
  </si>
  <si>
    <t>Teleportation Circle</t>
  </si>
  <si>
    <t>VM 50gp gems/chalk/ink (consumed)</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</si>
  <si>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occupied._x000D_
_x000D_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minute._x000D_
_x000D_
You can create a permanent teleportation circle by casting this spell in the same location every day for one year. You need not use the circle to teleport⁠ when you cast the spell in this way.</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</si>
  <si>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</si>
  <si>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side)._x000D_
_x000D_
Nothing can physically pass through the wall. It is immune to all damage and can't be dispelled by Dispel Magic. A Disintegrate spell destroys the wall instantly, however. The wall also extends into the Ethereal Plane, blocking ethereal Travel through the wall.</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</si>
  <si>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</si>
  <si>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thick._x000D_
_x000D_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wall._x000D_
_x000D_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ramp._x000D_
_x000D_
If you create a span greater than 20 feet in length, you must halve the size of each panel to create supports. You can crudely shape the wall to create crenellations, battlements, and so on._x000D_
_x000D_
The wall is an object made of stone that can be damaged and thus breached. Each panel has AC 15 and 30 Hit Points per inch of thickness. Reducing a panel to 0 Hit Points destroys it and might cause connected panels to collapse at the DM's discretion._x000D_
_x000D_
If you maintain your Concentration on this spell for its whole Duration, the wall becomes permanent and can't be dispelled. Otherwise, the wall disappears when the spell ends.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</si>
  <si>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</si>
  <si>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one._x000D_
_x000D_
At Higher Levels:_x000D_
When you cast this spell using a spell slot of 7th level or higher, the damage increases by 2d6 for each slot level above 6th.</t>
  </si>
  <si>
    <t>Cleric, Warlock, Wizard</t>
  </si>
  <si>
    <t>Create Undead</t>
  </si>
  <si>
    <t>VSM 150bp black onyx stone/corpse</t>
  </si>
  <si>
    <t>You can cast this spell only at night. Choose up to three corpses of Medium or Small Humanoids within range. Each corpse becomes a ghoul under your control. (The DM has game Statistics for these creatures.)_x000D_
_x000D_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complete._x000D_
_x000D_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ones._x000D_
_x000D_
At Higher Levels:_x000D_
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</si>
  <si>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Disintegrate</t>
  </si>
  <si>
    <t>10d6 + 40</t>
  </si>
  <si>
    <t>A thin green ray springs from your pointing finger to a target that you can see within range. The target can be a creature, an object, or a Creation of magical force, such as the wall created by Wall of Force._x000D_
_x000D_
A creature targeted by this spell must make a Dexterity saving throw. On a failed save, the target takes 10d6+40 force damage. If this damage reduces the target to 0 Hit Points, it is disintegrated._x000D_
_x000D_
A disintegrated creature and everything it is wearing and carrying, except Magic Items, are reduced to a pile of fine gray dust. The creature can be restored to life only by means of a True Resurrection or a wish spell._x000D_
_x000D_
This spell automatically disintegrates a Large or smaller nonmagical object or a Creation of magical force. If the target is a Huge or larger object or Creation of force, this spell disintegrates a 10-foot-cube portion of it. A magic item is unaffected by this spell._x000D_
_x000D_
At Higher Levels:_x000D_
When you cast this spell using a spell slot of 7th level or higher, the damage increases by 3d6 for each slot level above 6th.</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</si>
  <si>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</si>
  <si>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affected._x000D_
_x000D_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kind._x000D_
_x000D_
If the creature is physically broken while Petrified, it suffers from similar deformities if it reverts to its original state._x000D_
_x000D_
If you maintain your Concentration on this spell for the entire possible Duration, the creature is turned to stone until the Effect is removed.</t>
  </si>
  <si>
    <t>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</si>
  <si>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damage._x000D_
_x000D_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free._x000D_
_x000D_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explodes._x000D_
_x000D_
At Higher Levels:_x000D_
When you cast this spell using a spell slot of 7th level or higher, the damage increases by 1d6 for each slot level above 6th</t>
  </si>
  <si>
    <t>Globe of Invulnerability</t>
  </si>
  <si>
    <t>An immobile, faintly shimmering barrier springs into existence in a 10-foot radius around you and remains for the Duration._x000D_
_x000D_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Spells._x000D_
_x000D_
At Higher Levels:_x000D_
When you cast this spell using a spell slot of 7th level or higher, the barrier blocks Spells of one level higher for each slot level above 6th.</t>
  </si>
  <si>
    <t>Guards and Wards</t>
  </si>
  <si>
    <t>VSM 10gp Silver Rod</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</si>
  <si>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spell._x000D_
_x000D_
When you cast this spell, you can specify individuals that are unaffected by any or all of the Effects that you choose. You can also specify a password that, when spoken aloud, makes The Speaker immune to these Effects._x000D_
_x000D_
Guards and wards creates the following Effects within the warded area._x000D_
_x000D_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chooses._x000D_
_x000D_
Doors: All doors in the warded area are magically locked, as if sealed by an Arcane Lock spell. In addition, you can cover up to ten doors with an Illusion (equivalent to the illusory object function of the Minor Illusion spell) to make them appear as plain sections of wall._x000D_
_x000D_
Stairs: Webs fill all stairs in the warded area from top to bottom, as the web spell. These strands regrow in 10 minutes if they are burned or torn away while guards and wards lasts._x000D_
_x000D_
Other Spell Effect: You can place your choice of one of the following magical Effects within the warded area of the stronghold._x000D_
_x000D_
• Place Dancing Lights in four corridors. You can designate a simple program that the lights repeat as long as guards and wards lasts._x000D_
_x000D_
• Place Magic Mouth in two locations._x000D_
_x000D_
• Place Stinking Cloud in two locations. The vapors appear in the places you designate they return within 10 minutes if dispersed by wind while guards and wards lasts._x000D_
_x000D_
• Place a constant Gust of Wind in one corridor or room. Place a Suggestion in one location. You select an area of up to 5 feet square, and any creature that enters or passes through the area receives the Suggestion mentally._x000D_
_x000D_
The whole warded area radiates magic. A Dispel Magic cast on a specific Effect, if successful, removes only that Effect._x000D_
_x000D_
You can create a permanently guarded and warded structure by casting this spell there every day for one year.</t>
  </si>
  <si>
    <t>Instant Summons</t>
  </si>
  <si>
    <t>VSM 1000gp Sapphire</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</si>
  <si>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sapphire._x000D_
_x000D_
At any time thereafter, you can use your action to speak the item's name and crush the sapphire. The item instantly appears in your hand regardless of physical or planar distances, and the spell ends._x000D_
_x000D_
If another creature is holding or carrying the item, crushing the sapphire doesn't transport the item to you, but instead you learn who the creature possessing the object is and roughly where that creature is located at that moment._x000D_
_x000D_
Dispel Magic or a similar Effect successfully applied to the sapphire ends this spell's Effect.</t>
  </si>
  <si>
    <t>Irresistible Dance</t>
  </si>
  <si>
    <t>Choose one creature that you can see within range. The target begins a comic dance in place - shuffling, tapping its feet, and capering for the Duration. Creatures that can't be Charmed are immune to this spell._x000D_
_x000D_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</si>
  <si>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Magic Jar</t>
  </si>
  <si>
    <t>VSM 500gp Container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</si>
  <si>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body._x000D_
_x000D_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hours._x000D_
_x000D_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Features._x000D_
_x000D_
Meanwhile, the possessed creature's soul can perceive from the container using its own Senses, but it can't move or take Actions at all._x000D_
_x000D_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die._x000D_
_x000D_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dies._x000D_
_x000D_
When the spell ends, the container is destroyed.</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</si>
  <si>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</si>
  <si>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spell._x000D_
_x000D_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do._x000D_
_x000D_
You can also specify Conditions that will trigger a Special activity during the Duration. For example, you might suggest that a group of soldiers give all their money to the first Beggar they meet. If the condition isn't met before the spell ends, the activity isn't performed._x000D_
_x000D_
If you or any of your companions damage a creature affected by this spell, the spell ends for that creature._x000D_
_x000D_
At Higher Levels:_x000D_
When you cast this spell using a 7th-level spell slot, the Duration is 10 days. When you use an 8th-level spell slot, the Duration is 30 days. When you use a 9th-level spell slot, the Duration is a year and a day.</t>
  </si>
  <si>
    <t>Move Earth</t>
  </si>
  <si>
    <t>2 Hours</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</si>
  <si>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complete._x000D_
_x000D_
At the end of every 10 minutes you spend concentrating on the spell, you can choose a new area of terrain to affect._x000D_
_x000D_
Because the terrain's transformation occurs slowly, creatures in the area can't usually be trapped or injured by the ground's Movement._x000D_
_x000D_
This spell can't manipulate natural stone or stone construction. Rocks and structures shift to accommodate the new terrain. If the way you shape the terrain would make a structure unstable, it might collapse._x000D_
_x000D_
Similarly, this spell doesn't directly affect Plant Growth. The moved earth carries any Plants along with it.</t>
  </si>
  <si>
    <t>Programmed Illusion</t>
  </si>
  <si>
    <t>VSM 25gp Jade Dust</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</si>
  <si>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minutes._x000D_
_x000D_
When the condition you specify occurs, the Illusion springs into existence and performs in the manner you described. Once the Illusion finishes performing, it disappears and remains dormant for 10 minutes. After this time, the Illusion can be activated again._x000D_
_x000D_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</si>
  <si>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</si>
  <si>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Act</t>
  </si>
  <si>
    <t>Self (60ft Line)</t>
  </si>
  <si>
    <t>6d8</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</si>
  <si>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throw._x000D_
_x000D_
You can create a new line of radiance as your action on any turn until the spell ends._x000D_
_x000D_
For the Duration, a mote of brilliant radiance shines in your hand. It sheds bright light in a 30-foot radius and dim light for an additional 30 feet. The light is sunlight.</t>
  </si>
  <si>
    <t>True Seeing</t>
  </si>
  <si>
    <t>VSM 25gp Eye Ointment (consumed)</t>
  </si>
  <si>
    <t>This spell gives the willing creature you touch the ability to see things as they actually are. For the Duration, the creature has Truesight, notices Secret doors hidden by magic, and can see into the Ethereal Plane, all out to a range of 120 feet.</t>
  </si>
  <si>
    <t>Arcane Sword</t>
  </si>
  <si>
    <t>VSM 250gp Mini Platinum Sword</t>
  </si>
  <si>
    <t>You create a sword-shaped plane of force that hovers within range. It lasts for the Duration._x000D_
_x000D_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</si>
  <si>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Delayed Blast Fireball</t>
  </si>
  <si>
    <t>12d6</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</si>
  <si>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one._x000D_
_x000D_
The spell's base damage is 12d6. If at the end of Your Turn the bead has not yet detonated, the damage increases by 1d6._x000D_
_x000D_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explodes._x000D_
_x000D_
The fire damages Objects in the area and ignites flammable Objects that aren't being worn or carried._x000D_
_x000D_
At Higher Levels:_x000D_
When you cast this spell using a spell slot of 8th level or higher, the base damage increases by 1d6 for each slot level above 7th.</t>
  </si>
  <si>
    <t>Finger of Death</t>
  </si>
  <si>
    <t>7d8+30</t>
  </si>
  <si>
    <t>You send negative energy coursing through a creature that you can see within range, causing it searing pain. The target must make a Constitution saving throw. It takes 7d8+30 necrotic damage on a failed save, or half as much damage on a successful one._x000D_
_x000D_
A Humanoid killed by this spell rises at the start of your next turn as a Zombie that is permanently under your Command, following your verbal orders to the best of its ability.</t>
  </si>
  <si>
    <t>Forcecage</t>
  </si>
  <si>
    <t>100 Feet</t>
  </si>
  <si>
    <t>VSM 1500gp Ruby dust</t>
  </si>
  <si>
    <t>An immobile, Invisible, cube-shaped prison composed of magical force springs into existence around an area you choose within range. The prison can be a cage or a solid box as you choose._x000D_
_x000D_
A prison in the shape of a cage can be up to 20 feet on a side and is made from 1/2-inch diameter bars spaced 1/2 inch apart._x000D_
_x000D_
A prison in the shape of a box can be up to 10 feet on a side, creating a solid barrier that prevents any matter from passing through it and blocking any Spells cast into or out of the area._x000D_
_x000D_
When you cast the spell, any creature that is completely inside the cage's area is trapped. Creatures only partially within the area, or those too large to fit inside the area, are pushed away from the center of the area until they are completely outside the area._x000D_
_x000D_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Travel._x000D_
_x000D_
This spell can't be dispelled by Dispel Magic.</t>
  </si>
  <si>
    <t>Magnificent Mansion</t>
  </si>
  <si>
    <t>VSM 5gp each: mini ivory portal, polished marble, silver spoon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</si>
  <si>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Invisible._x000D_
_x000D_
Beyond the portal is a magnificent foyer with numerous chambers beyond. The atmosphere is clean, fresh, and warm._x000D_
_x000D_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</si>
  <si>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Bard, Druid, Wizard</t>
  </si>
  <si>
    <t>Mirage Arcane</t>
  </si>
  <si>
    <t>Sight</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</si>
  <si>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road._x000D_
_x000D_
Similarly, you can alter the appearance of structures, or add them where none are present. The spell doesn't disguise, conceal, or add creatures._x000D_
_x000D_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immediately._x000D_
_x000D_
Creatures with Truesight can see through the Illusion to the terrain's true form, however, all other elements of the Illusion remain, so while the creature is aware of the illusion's presence, the creature can still physically interact with the Illusion.</t>
  </si>
  <si>
    <t>Cleric, Sorcerer, Warlock, Wizard, Druid</t>
  </si>
  <si>
    <t>Plane Shift</t>
  </si>
  <si>
    <t>VSM 250gp forked rod attuned to plane</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</si>
  <si>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discretion._x000D_
_x000D_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circle._x000D_
_x000D_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</si>
  <si>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Prismatic Spray</t>
  </si>
  <si>
    <t>Self (60ft Cone)</t>
  </si>
  <si>
    <t>Eight multicolored rays of light flash from your hand. Each ray is a different color and has a different power and purpose. Each creature in a 60-foot cone must make a Dexterity saving throw. For each target, roll a d8 to determine which color ray affects it._x000D_
_x000D_
1-Red: The target takes 10d6 fire damage on a failed save, or half as much damage on a successful one._x000D_
_x000D_
2-Orange: The target takes 10d6 acid damage on a failed save, or half as much damage on a successful one._x000D_
_x000D_
3-Yellow: The target takes 10d6 lightning damage on a failed save, or half as much damage on a successful one._x000D_
_x000D_
4-Green: The target takes 10d6 poison damage on a failed save, or half as much damage on a successful one._x000D_
_x000D_
5-Blue: The target takes 10d6 cold damage on a failed save, or half as much damage on a successful one._x000D_
_x000D_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kind._x000D_
_x000D_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planes.)_x000D_
_x000D_
8-Special: The target is struck by two rays. Roll twice more, rerolling any 8.</t>
  </si>
  <si>
    <t>Project Image</t>
  </si>
  <si>
    <t>500 Miles</t>
  </si>
  <si>
    <t>1 Day</t>
  </si>
  <si>
    <t>VSM 5gp self-replica</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</si>
  <si>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ends._x000D_
_x000D_
You can use your action to move this Illusion up to twice your speed, and make it gesture, speak, and behave in whatever way you choose. It mimics your mannerisms perfectly._x000D_
_x000D_
You can see through its eyes and hear through its ears as if you were in its space. On Your Turn as a Bonus Action, you can switch from using its Senses to using your own, or back again. While you are using its Senses, you are Blinded and Deafened in regard to your own surroundings._x000D_
_x000D_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</si>
  <si>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</si>
  <si>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fall._x000D_
_x000D_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Duration._x000D_
_x000D_
At the end of the Duration, affected Objects and creatures fall back down.</t>
  </si>
  <si>
    <t>Sequester</t>
  </si>
  <si>
    <t>VSM 5000gp powdered diamond, emerald, ruby, sapphire (consumed)</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</si>
  <si>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Spells._x000D_
_x000D_
If the target is a creature, it falls into a state of suspended animation. Time ceases to flow for it, and it doesn't grow older._x000D_
_x000D_
You can set a condition for the spell to end early. The condition can be anything you choose, but it must occur or be visible within 1 mile of the target. Examples include after 1,000 years or when the Tarrasque awakes. This Spells also ends if the target takes any damage.</t>
  </si>
  <si>
    <t>Simulacrum</t>
  </si>
  <si>
    <t>12 Hours</t>
  </si>
  <si>
    <t>VSM 15000gp powdered ruby (consumed)</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</si>
  <si>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duplicates._x000D_
_x000D_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Slots._x000D_
_x000D_
If the simulacrum is damaged, you can repair it in an alchemical laboratory, using rare herbs and minerals worth 100 gp per hit point it regains. The simulacrum lasts until it drops to 0 Hit Points, at which point it reverts to snow and melts instantly._x000D_
_x000D_
If you cast this spell again, any currently active duplicates you created with this spell are instantly destroyed.</t>
  </si>
  <si>
    <t>Symbol</t>
  </si>
  <si>
    <t>10d10</t>
  </si>
  <si>
    <t>VSM 1000gp Mercury, P, pow Diamond, Opal (consumed)</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</si>
  <si>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triggered._x000D_
_x000D_
The glyph is nearly Invisible, requiring an Intelligence (Investigation) check against your spell save DC to find it._x000D_
_x000D_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glyph._x000D_
_x000D_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password._x000D_
_x000D_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there._x000D_
_x000D_
Death: Each target must make a Constitution saving throw, taking 10d10 necrotic damage on a failed save, or half as much damage on a successful save._x000D_
_x000D_
Discord: Each target must make a Constitution saving throw. On a failed save, a target bickers and argues with other creatures for 1 minute. During this time, it is incapable of meaningful Communication and has disadvantage on Attack rolls and Ability Checks._x000D_
_x000D_
Fear: Each target must make a Wisdom saving throw and becomes Frightened for 1 minute on a failed save. While Frightened, the target drops whatever it is holding and must move at least 30 feet away from the glyph on each of its turns, if able._x000D_
_x000D_
Hopelessness: Each target must make a Charisma saving throw. On a failed save, the target is overwhelmed with despair for 1 minute. During this time, it can't Attack or target any creature with harmful Abilities, Spells, or other magical Effects._x000D_
_x000D_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erratic._x000D_
_x000D_
Pain: Each target must make a Constitution saving throw and becomes Incapacitated with excruciating pain for 1 minute on a failed save._x000D_
_x000D_
Sleep: Each target must make a Wisdom saving throw and falls Unconscious for 10 minutes on a failed save. A creature awakens if it takes damage or if someone uses an action to shake or slap it awake._x000D_
_x000D_
Stunning: Each target must make a Wisdom saving throw and becomes Stunned for 1 minute on a failed save.</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</si>
  <si>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</si>
  <si>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table._x000D_
_x000D_
_x000D_
Permanent Circle: On-Target 100%_x000D_
_x000D_
Associated Object: On-Target 100%_x000D_
_x000D_
Very Familiar: 1-5 Mishap; 6-13 Similar Area; 14-24 Off Target; 25-100 On-Target_x000D_
_x000D_
Seen Casually: 1-33 Mishap; 34-43 Similar Area; 44-53 Off Target; 54-100 On-Target_x000D_
_x000D_
Viewed Once: 1-43 Mishap; 44-53 Similar Area; 54-73 Off Target; 74-100 On-Target_x000D_
_x000D_
Description: 1-43 Mishap; 44-53 Similar Area; 54-73 Off Target; 74-100 On-Target_x000D_
_x000D_
False Description: 1-50 Mishap; 51-100 Similar Area_x000D_
_x000D_
_x000D_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tomb._x000D_
_x000D_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map._x000D_
_x000D_
"False Description" is a place that doesn't exist. Perhaps you tried to scry an enemy's Sanctum but instead viewed an Illusion, or you are attempting to teleport to a familiar location that no longer exists._x000D_
_x000D_
On Target: You and your group (or the target object) appear where you want to go._x000D_
_x000D_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trouble._x000D_
_x000D_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plane._x000D_
_x000D_
Mishap: The spell's unpredictable magic results in a difficult journey. Each teleporting creature (or the target object) takes 3d10 force damage and the DM rerolls on the table to see where you wind up (multiple Mishaps can occur, dealing damage each time).</t>
  </si>
  <si>
    <t>Antimagic Field</t>
  </si>
  <si>
    <t>Self (10ft Sphere)</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</si>
  <si>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you._x000D_
_x000D_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Duration._x000D_
_x000D_
Targeted Effects: Spells and other magical Effects, such as Magic Missile and Charm Person, that target a creature or an object in the Sphere have no Effect on that target._x000D_
_x000D_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enough._x000D_
_x000D_
Spells: Any active spell or other magical Effect on a creature or an object in the Sphere is suppressed while the creature or object is in it._x000D_
_x000D_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exits._x000D_
_x000D_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Sphere._x000D_
_x000D_
Creatures and Objects: A creature or object summoned or created by magic temporarily winks out of existence in the Sphere. Such a creature instantly reappears once the space the creature occupied is no longer within the Sphere._x000D_
_x000D_
Dispel Magic: Spells and magical Effects such as Dispel Magic have no Effect on the Sphere. Likewise, the spheres created by different antimagic field Spells don't nullify each other.</t>
  </si>
  <si>
    <t>Antipathy 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</si>
  <si>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Effect._x000D_
_x000D_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it._x000D_
_x000D_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below._x000D_
_x000D_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persists._x000D_
_x000D_
A creature that successfully saves against this Effect is immune to it for 1 minute, after which time it can be affected again.</t>
  </si>
  <si>
    <t>Clone</t>
  </si>
  <si>
    <t>VSM 1000gp Diamond, 1in^3 flesh of creature (consumed), 2000gp vessel</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</si>
  <si>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undisturbed._x000D_
_x000D_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</si>
  <si>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Control Weather</t>
  </si>
  <si>
    <t>Self (5mi)</t>
  </si>
  <si>
    <t>You take control of the weather within 5 miles of you for the Duration. You must be outdoors to cast this spell. Moving to a place where you don't have a clear path to the sky ends the spell early._x000D_
_x000D_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normal._x000D_
_x000D_
When you change the weather Conditions, find a current condition on the following tables and change its stage by one, up or down. When changing the wind, you can change its direction._x000D_
_x000D_
Precipitation:_x000D_
Stage 1 - Clear_x000D_
Stage 2 - Light clouds_x000D_
Stage 3 - Overcast or ground fog_x000D_
Stage 4 - Rain, hail or snow_x000D_
Stage 5 - Torrential rain, driving hail or Blizzard_x000D_
_x000D_
Temperature:_x000D_
Stage 1 - Unbearable heat_x000D_
Stage 2 - Hot_x000D_
Stage 3 - Warm_x000D_
Stage 4 - Cool_x000D_
Stage 5 - Cold_x000D_
Stage 6 - Arctic cold_x000D_
_x000D_
Wind:_x000D_
Stage 1 - Calm_x000D_
Stage 2 - Moderate wind_x000D_
Stage 3 - Strong wind_x000D_
Stage 4 - Gale_x000D_
Stage 5 - Storm</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</si>
  <si>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</si>
  <si>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side._x000D_
_x000D_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</si>
  <si>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</si>
  <si>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throw._x000D_
_x000D_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ability._x000D_
_x000D_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well._x000D_
_x000D_
Each time the target takes damage, it makes a new Wisdom saving throw against the spell. If the saving throw succeeds, the spell ends._x000D_
_x000D_
At Higher Levels:_x000D_
When you cast this spell with a 9th-level spell slot, the Duration is Concentration, up to 8 hours.</t>
  </si>
  <si>
    <t>Feeblemind</t>
  </si>
  <si>
    <t>4d6</t>
  </si>
  <si>
    <t>You blast the mind of a creature that you can see within range, attempting to Shatter its intellect and personality. The target takes 4d6 psychic damage and must make an Intelligence saving throw._x000D_
_x000D_
On a failed save, the creature's Intelligence and Charisma scores become 1. The creature can't cast Spells, activate Magic Items, understand language, or communicate in any intelligible way. The creature can, however, Identify its Friends, follow them, and even protect them._x000D_
_x000D_
At the end of every 30 days, the creature can repeat its saving throw against this spell. If it succeeds on its saving throw, the spell ends._x000D_
_x000D_
The spell can also be ended by Greater Restoration, heal or wish.</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</si>
  <si>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</si>
  <si>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it._x000D_
_x000D_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there._x000D_
_x000D_
The cloud moves 10 feet directly away from you in a direction that you choose at the start of each of your turns.</t>
  </si>
  <si>
    <t>Maze</t>
  </si>
  <si>
    <t>You banish a creature that you can see within range into a labyrinthine Demiplane. The target remains there for the Duration or until it escapes the maze._x000D_
_x000D_
The target can use its action to attempt to escape. When it does so, it makes a DC 20 Intelligence check. If it succeeds, it escapes, and the spell ends (a Minotaur or Goristro demon automatically succeeds)._x000D_
_x000D_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</si>
  <si>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</si>
  <si>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</si>
  <si>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</si>
  <si>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Effect._x000D_
_x000D_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</si>
  <si>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</si>
  <si>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throw._x000D_
_x000D_
A creature Blinded by this spell makes another Constitution saving throw at the end of each of its turns. On a successful save, it is no longer Blinded._x000D_
_x000D_
This spell dispels any Darkness in its area that was created by a spell.</t>
  </si>
  <si>
    <t>Astral Projection</t>
  </si>
  <si>
    <t>VSM Per Affected: 1000gp Jacinth (consumed), 100gp Silver Bar (consumed)</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</si>
  <si>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age._x000D_
_x000D_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instantly._x000D_
_x000D_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it._x000D_
_x000D_
The spell ends for you and your companions when you use your action to dismiss it. When the spell ends, the affected creature returns to its physical body, and it awakens._x000D_
_x000D_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animation._x000D_
_x000D_
If you are returned to your body prematurely, your companions remain in their astral forms and must find their own way back to their bodies, usually by Dropping to 0 Hit Points.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</si>
  <si>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</si>
  <si>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Duration._x000D_
_x000D_
This spell immediately ends if you cast it again before its Duration ends.</t>
  </si>
  <si>
    <t>Cleric, Sorcerer, Wizard</t>
  </si>
  <si>
    <t>Gate</t>
  </si>
  <si>
    <t>VSM 5000gp Diamond</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</si>
  <si>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Duration._x000D_
_x000D_
The portal has a front and a back on each plane where it appears. Travel through the portal is possible only by moving through its front. Anything that does so is instantly transported to the other plane, appearing in the unoccupied space nearest to the portal._x000D_
_x000D_
Deities and other planar rulers can prevent Portals created by this spell from opening in their presence or anywhere within their domains._x000D_
_x000D_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</si>
  <si>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Imprisonment</t>
  </si>
  <si>
    <t>VSM 500gp/Target Hit Die Vellum likeness, Special Comp</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</si>
  <si>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target._x000D_
_x000D_
When you cast the spell, you choose one of the following forms of imprisonment._x000D_
_x000D_
Burial: The target is entombed far beneath the earth in a Sphere of magical force that is just large enough to contain the target. Nothing can pass through the Sphere, nor can any creature Teleport or use Planar Travel to get into or out of it._x000D_
_x000D_
The Special component for this version of the spell is a small mithral orb._x000D_
_x000D_
Chaining: Heavy chains, firmly rooted in the ground, hold the target in place. The target is Restrained until the spell ends, and it can't move or be moved by any means until then._x000D_
_x000D_
The Special component for this version of the spell is a fine chain of precious metal._x000D_
_x000D_
Hedged Prison: The spell transports the target into a tiny Demiplane that is warded against teleportation and Planar Travel. The Demiplane can be a labyrinth, a cage, a tower, or any similar confined structure or area of your choice._x000D_
_x000D_
The Special component for this version of the spell is a miniature representation of the prison made from jade._x000D_
_x000D_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Effect._x000D_
_x000D_
The Special component for this version of the spell is a large, transparent gemstone, such as a corundum, diamond, or ruby._x000D_
_x000D_
Slumber: The target falls asleep and can't be awoken._x000D_
_x000D_
The Special component for this version of the spell consists of rare soporific herbs._x000D_
_x000D_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Points._x000D_
_x000D_
A Dispel Magic spell can end the spell only if it is cast as a 9th-level spell, targeting either the prison or the Special component used to create it._x000D_
_x000D_
You can use a particular Special component to create only one prison at a time. If you cast the spell again using the same component, the target of the first casting is immediately freed from its binding.</t>
  </si>
  <si>
    <t>Meteor Swarm</t>
  </si>
  <si>
    <t>40d6</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</si>
  <si>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once._x000D_
_x000D_
The spell damages Objects in the area and ignites flammable Objects that aren't being worn or carried.</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</si>
  <si>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</si>
  <si>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</si>
  <si>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</si>
  <si>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centered on a point you can see within range. Alternatively, you can shape the wall into a Sphere up to 30 feet in diameter centered on a point you choose within range._x000D_
_x000D_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minute._x000D_
_x000D_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below._x000D_
_x000D_
The wall can be destroyed, also one layer at a time, in order from red to violet, by means specific to each layer. Once a layer is destroyed, it remains so for the Duration of the spell. A rod of cancellation destroys a prismatic wall, but an Antimagic Field has no Effect on it._x000D_
_x000D_
Red: The creature takes 10d6 fire damage on a failed save, or half as much damage on a successful one. While this layer is in place, nonmagical Ranged Attacks can't pass through the wall. The layer can be destroyed by dealing at least 25 cold damage to it._x000D_
_x000D_
Orange: The creature takes 10d6 acid damage on a failed save, or half as much damage on a successful one. While this layer is in place, magical Ranged Attacks can't pass through the wall. The layer is destroyed by a strong wind._x000D_
_x000D_
Yellow: The creature takes 10d6 lightning damage on a failed save, or half as much damage on a successful one. This layer can be destroyed by dealing at least 60 force damage to it._x000D_
_x000D_
Green: The creature takes 10d6 poison damage on a failed save, or half as much damage on a successful one. A Passwall spell, or another spell of equal or greater level that can open a portal on a solid surface, destroys this layer._x000D_
_x000D_
Blue: The creature takes 10d6 cold damage on a failed save, or half as much damage on a successful one. This layer can be destroyed by dealing at least 25 fire damage to it._x000D_
_x000D_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level._x000D_
_x000D_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</si>
  <si>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</si>
  <si>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VSM 1500gp Jace Circlet</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</si>
  <si>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trait._x000D_
_x000D_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form._x000D_
_x000D_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Unconscious._x000D_
_x000D_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speak._x000D_
_x000D_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state._x000D_
_x000D_
During this spell's Duration, you can use your action to assume a different form following the same restrictions and rules for the original form, with one exception - if your new form has more hit pints than your current one, your Hit Points remain at their current value.</t>
  </si>
  <si>
    <t>Time Stop</t>
  </si>
  <si>
    <t>You briefly stop the flow of time for everyone but yourself. No time passes for other creatures, while you take 1d4+1 turns in a row, during which you can use Actions and move as normal._x000D_
_x000D_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</si>
  <si>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</si>
  <si>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permanent._x000D_
_x000D_
Shapechangers aren't affected by this spell. An unwilling creature can make a Wisdom saving throw, and if it succeeds, it isn't affected by this spell._x000D_
_x000D_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personality._x000D_
_x000D_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Unconscious._x000D_
_x000D_
The creature is limited in the Actions it can perform by the Nature of its new form, and it can't speak, cast Spells, or take any other action that requires hands or Speech unless its new form is capable of such Actions._x000D_
_x000D_
The target's gear melds into the new form. The creature can't activate, use, wield, or otherwise benefit from any of its Equipment._x000D_
_x000D_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Movement._x000D_
_x000D_
If the spell becomes permanent, you no longer control the creature. It might remain friendly to you, depending on how you have treated it._x000D_
_x000D_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</si>
  <si>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</si>
  <si>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</si>
  <si>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</si>
  <si>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desires._x000D_
_x000D_
The basic use of this spell is to duplicate any other spell of 8th level or lower. You don't need to meet any requirements in that spell, including costly Components. The spell simply takes Effect. Alternatively, you can create one of the following Effects of your choice._x000D_
_x000D_
• You create one object of up to 25,000 gp in value that isn't a magic item. The object can be no more than 300 feet in any dimension, and it appears in an unoccupied space you can see on the ground._x000D_
_x000D_
• You allow up to twenty creatures that you can see to regain all Hit Points, and you end all Effects on them described in the Greater Restoration spell._x000D_
_x000D_
• You grant up to ten creatures that you can see Resistance to a damage type you choose._x000D_
_x000D_
• You grant up to ten creatures you can see immunity to a single spell or other magical Effect for 8 hours. For instance, you could make yourself and all your companions immune to a lich's Life Drain Attack._x000D_
_x000D_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roll._x000D_
_x000D_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owner._x000D_
_x000D_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</si>
  <si>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Canopy</t>
  </si>
  <si>
    <t>"69472a"</t>
  </si>
  <si>
    <t>"4a321e"</t>
  </si>
  <si>
    <t>"304c02"</t>
  </si>
  <si>
    <t>"1e3001"</t>
  </si>
  <si>
    <t>"111c00"</t>
  </si>
  <si>
    <t>"b9c21d"</t>
  </si>
  <si>
    <t>"182600"</t>
  </si>
  <si>
    <t>"d6e926"</t>
  </si>
  <si>
    <t>"872101"</t>
  </si>
  <si>
    <t>You hurl a mote of fire at a creature or object within range. On a hit, the target takes 1d10 fire damage. A flammable object hit by this spell ignites if it isn't being worn or carried._x000D_
_x000D_
This spell's damage increases by 1d10 when you reach 5th Level (2d10), 11th level (3d10), and 17th level (4d10).</t>
  </si>
  <si>
    <t>Key</t>
  </si>
  <si>
    <t>Value</t>
  </si>
  <si>
    <t>theme</t>
  </si>
  <si>
    <t>concentration</t>
  </si>
  <si>
    <t>last cast spell</t>
  </si>
  <si>
    <t>Gender</t>
  </si>
  <si>
    <t>Quick Notes</t>
  </si>
  <si>
    <t>Ctrl+Shift+S will switch to this sheet</t>
  </si>
  <si>
    <t>Cleric, Paladin</t>
  </si>
  <si>
    <t>Bless</t>
  </si>
  <si>
    <t>You bless up to three creatures of your choice within range. Whenever a target makes an attack roll or a saving throw before the spell ends, the target can roll a d4 and add the number rolled to the attack roll or saving throw._x000D_
_x000D_
At Higher Levels:_x000D_
When you cast this spell using a spell slot of 2nd level or higher, you can target one additional creature for each slot level above 1st.</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</si>
  <si>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</si>
  <si>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it._x000D_
_x000D_
Some typical commands and their Effects follow. You might issue a command other than one described here. If you do so, the DM determines how the target behaves. If the target can't follow your command, the spell ends._x000D_
_x000D_
Approach: The target moves toward you by the shortest and most direct route, Ending its turn if it moves within 5 feet of you._x000D_
_x000D_
Drop: The target drops whatever it is holding and then ends its turn._x000D_
_x000D_
Flee: The target spends its turn moving away from you by the fastest available means._x000D_
_x000D_
Grovel: The target falls prone and then ends its turn._x000D_
_x000D_
Halt: The target doesn't move and takes no Actions. A flying creature stays aloft, provided that it is able to do so. If it must move to stay aloft, it flies the minimum distance needed to remain in the air._x000D_
_x000D_
At Higher Levels: When you cast this spell using a spell slot of 2nd Level or higher, you can affect one additional creature for each slot level above 1st. The creatures must be within 30 feet of each other when you target them.</t>
  </si>
  <si>
    <t>Bard, Cleric, Druid, Paladin, Ranger</t>
  </si>
  <si>
    <t>Cure Wounds</t>
  </si>
  <si>
    <t>A creature you touch regains a number of Hit Points equal to 1d8 + your Spellcasting Ability modifier. This spell has no Effect on Undead or Constructs._x000D_
_x000D_
At Higher Levels: When you cast this spell using a spell slot of 2nd Level or higher, the Healing increases by 1d8 for each slot level above 1st.</t>
  </si>
  <si>
    <t>Detect Evil and Good</t>
  </si>
  <si>
    <t>For the Duration, you know if there is an Aberration, Celestial, elemental, fey, fiend, or Undead within 30 feet of you, as well as where the creature is located. Similarly, you know if there is a place or object within 30 feet of you that has been magically consecrated or desecrated. The spell can penetrate most barriers, but it is blocked by 1 foot of stone, 1 inch of Common metal, a thin sheet of lead, or 3 feet of wood or dirt.</t>
  </si>
  <si>
    <t>Cleric, Druid, Paladin, Ranger</t>
  </si>
  <si>
    <t>Detect Poison And Disease</t>
  </si>
  <si>
    <t>SElf</t>
  </si>
  <si>
    <t>For the Duration, you can sense the presence and location of Poisons, poisonous creatures, and Diseases within 30 feet of you. You also Identify the kind of poison, poisonous creature, or disease in each case._x000D_
_x000D_
The spell can penetrate most barriers, but is blocked by 1 foot of stone, 1 inch of Common metal, a thin sheet of lead, or 3 feet of wood or dirt.</t>
  </si>
  <si>
    <t>Paladin</t>
  </si>
  <si>
    <t>Divine Favor</t>
  </si>
  <si>
    <t>Your prayer empowers you with divine radiance. Until the spell ends, your weapon attacks deal an extra 1d4 radiant damage on a hit.</t>
  </si>
  <si>
    <t>Bard, Paladin</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</si>
  <si>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</si>
  <si>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spell._x000D_
_x000D_
At Higher Levels_x000D_
When you cast this spell using a spell slot of 2nd Level or higher, you can target one additional creature for each slot level above 1st.</t>
  </si>
  <si>
    <t>Cleric, Druid, Paladin</t>
  </si>
  <si>
    <t>Purify Food and Drink</t>
  </si>
  <si>
    <t>Action (ritual)</t>
  </si>
  <si>
    <t>All nonmagical food and drink within a 5-foot-radius Sphere centered on a point of your choice within range is Purified and rendered free of poison and disease.</t>
  </si>
  <si>
    <t>Shield of Faith</t>
  </si>
  <si>
    <t>A shimmering field appears and surrounds a creature of your choice within range, granting it a +2 bonus to AC for the Duration.</t>
  </si>
  <si>
    <t>Aid</t>
  </si>
  <si>
    <t>Your spell bolsters your allies with toughness and resolve. Choose up to three creatures within range. Each target's hit point maximum and current Hit Points increase by 5 for the Duration._x000D_
_x000D_
At Higher Levels_x000D_
When you cast this spell using a spell slot of 3rd Level or higher, a target's Hit Points increase by an additional 5 for each slot level above 2nd.</t>
  </si>
  <si>
    <t>Branding Smite</t>
  </si>
  <si>
    <t>The next time you hit a creature with a weapon Attack before this spell ends, the weapon gleams with astral radiance as you strike. The Attack deals an extra 2d6 radiant damage to the target, which becomes visible if it's Invisible, and the target sheds dim light in a 5-foot radius and can't become Invisible until the spell ends._x000D_
_x000D_
At Higher Levels. When you cast this spell using a spell slot of 3rd Level or higher, the extra damage increases by 1d6 for each slot level above 2nd.</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</si>
  <si>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</si>
  <si>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speak._x000D_
_x000D_
Your steed serves you as a mount, both in Combat and out, and you have an instinctive bond with it that allows you to fight as a seamless unit. While mounted on your steed, you can make any spell you cast that Targets only you also target your steed._x000D_
_x000D_
When the steed drops to 0 Hit Points, it disappears, leaving behind no physical form. You can also dismiss your steed at any time as an action, causing it to disappear. In either case, casting this spell again summons the same steed, restored to its hit point maximum._x000D_
_x000D_
While your steed is within 1 mile of you, you can communicate with it telepathically._x000D_
_x000D_
You can't have more than one steed bonded by this spell at a time. As an action, you can release the steed from its bond at any time, causing it to disappear.</t>
  </si>
  <si>
    <t>Lesser Restoration</t>
  </si>
  <si>
    <t>You touch a creature and can end either one disease or one condition afflicting it. The condition can be Blinded, Deafened, Paralyzed, or Poisoned.</t>
  </si>
  <si>
    <t>Protection from Poison</t>
  </si>
  <si>
    <t>You touch a creature. If it is Poisoned, you neutralize the poison. If more than one poison afflicts the target, you neutralize on poison that you know is present, or you neutralize one at random._x000D_
_x000D_
For the Duration, the target has advantage on Saving Throws against being Poisoned, and it has Resistance to poison damage.</t>
  </si>
  <si>
    <t>Bard, Cleric, Paladin</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</si>
  <si>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</si>
  <si>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throw._x000D_
_x000D_
An affected creature is aware of the spell and can thus avoid answering questions to which it would normally respond with a lie. Such creatures can be evasive in its answers as long as it remains within the boundaries of the truth.</t>
  </si>
  <si>
    <t>Booming Blade</t>
  </si>
  <si>
    <t>5 Feet</t>
  </si>
  <si>
    <t>1d8 (LV)</t>
  </si>
  <si>
    <t>As part of the action used to cast this spell, you must make a melee attack with a weapon against one creature within the spell's range, otherwise the spell fails._x000D_
On a hit, the target suffers the attack's normal effects, and it becomes sheathed in booming energy until the start of your next turn. If the target willingly moves be- fore then, it immediately takes 1d8 thunder damage, and the spell ends._x000D_
This spell's damage increases when you reach higher levels._x000D_
_x000D_
At 5th level, the melee attack deals an extra 1d8 thunder damage to the target, and the damage the target takes for moving increases to 2d8. Both damage rolls increase by 1d8 at 11th level and 17th level.</t>
  </si>
  <si>
    <t>Artificer, Sorcerer, Warlock, Wizard</t>
  </si>
  <si>
    <t>Green Flame Blade</t>
  </si>
  <si>
    <t>Sp Ability (LV)</t>
  </si>
  <si>
    <t>You brandish the weapon used in the spell’s casting and make a melee attack with it against one creature within 5 feet of you. On a hit, the target suffers the weapon attack’s normal effects, and you can cause green ire to leap from the target to a different creature of your choice that you can see within 5 feet of it. The second creature takes ire damage equal to your spellcasting ability modifier._x000D_
_x000D_
At Higher Levels_x000D_
At 5th level, the melee attack deals an extra 1d8 fire damage to the target on a hit, and the fire damage to the second creature increases to 1d8 + your spellcasting ability modifier. Both damage rolls increase by 1d8 at 11th level (2d8 and 2d8) and 17th level (3d8 and 3d8).</t>
  </si>
  <si>
    <t>Bard, Cleric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</si>
  <si>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</si>
  <si>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throw._x000D_
_x000D_
At Higher Levels_x000D_
When you cast this spell using a spell slot of 2nd Level or higher, you can target one additional creature for each slot level above 1st.</t>
  </si>
  <si>
    <t>Ranger</t>
  </si>
  <si>
    <t>Hunter's Mark</t>
  </si>
  <si>
    <t>1d6</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</si>
  <si>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creature._x000D_
_x000D_
At Higher Levels: When you cast this spell using a spell slot of 3rd or 4th Level, you can maintain your Concentration on the spell for up to 8 hours. When you use a spell slot of 5th Level or higher, you can maintain your Concentration on the spell for up to 24 hours.</t>
  </si>
  <si>
    <t>Ember</t>
  </si>
  <si>
    <t>"3C0E01"</t>
  </si>
  <si>
    <t>"a62100"</t>
  </si>
  <si>
    <t>"d82f04"</t>
  </si>
  <si>
    <t>"5d2105"</t>
  </si>
  <si>
    <t>"831d07"</t>
  </si>
  <si>
    <t>"ffd93c"</t>
  </si>
  <si>
    <t>Classic</t>
  </si>
  <si>
    <t>"4571c4"</t>
  </si>
  <si>
    <t>"305496"</t>
  </si>
  <si>
    <t>"4472c4"</t>
  </si>
  <si>
    <t>"b4c6e7"</t>
  </si>
  <si>
    <t>"d9e1f2"</t>
  </si>
  <si>
    <t>"9751CB"</t>
  </si>
  <si>
    <t>"8ea9db"</t>
  </si>
  <si>
    <t>"203864"</t>
  </si>
  <si>
    <t>Condition/Effect</t>
  </si>
  <si>
    <t>Pane</t>
  </si>
  <si>
    <t>Cols</t>
  </si>
  <si>
    <t>A,B,C</t>
  </si>
  <si>
    <t>_2</t>
  </si>
  <si>
    <t>Dmg Resist</t>
  </si>
  <si>
    <t>Immun</t>
  </si>
  <si>
    <t>Vuln</t>
  </si>
  <si>
    <t>E,F,G</t>
  </si>
  <si>
    <t>I,J,K,L,M,N,O</t>
  </si>
  <si>
    <t>Q,R,S</t>
  </si>
  <si>
    <t>U</t>
  </si>
  <si>
    <t>rh-index</t>
  </si>
  <si>
    <t>combat mode</t>
  </si>
  <si>
    <t>level restricted</t>
  </si>
  <si>
    <t>Sapphic-Dark</t>
  </si>
  <si>
    <t>Sunset</t>
  </si>
  <si>
    <t>"8C386A"</t>
  </si>
  <si>
    <t>"B24782"</t>
  </si>
  <si>
    <t>"AE4F18"</t>
  </si>
  <si>
    <t>"AA151B"</t>
  </si>
  <si>
    <t>"861750"</t>
  </si>
  <si>
    <t>"6A6A6A"</t>
  </si>
  <si>
    <t>"8E014A"</t>
  </si>
  <si>
    <t>"9B4F96"</t>
  </si>
  <si>
    <t>"D60270"</t>
  </si>
  <si>
    <t>"002162"</t>
  </si>
  <si>
    <t>"6A3667"</t>
  </si>
  <si>
    <t>"F7A8B8"</t>
  </si>
  <si>
    <t>"55CDFC"</t>
  </si>
  <si>
    <t>"FFFFFF"</t>
  </si>
  <si>
    <t>"A26033"</t>
  </si>
  <si>
    <t>"0038A8"</t>
  </si>
  <si>
    <t>Ace</t>
  </si>
  <si>
    <t>"810081"</t>
  </si>
  <si>
    <t>"000000</t>
  </si>
  <si>
    <t>workbook name</t>
  </si>
  <si>
    <t>Bard</t>
  </si>
  <si>
    <t>Vicious Mockery</t>
  </si>
  <si>
    <t>1d4 (Lv)</t>
  </si>
  <si>
    <t>You unleash a string of insults laced with subtle enchantments at a creature you can see within range. If the target can hear you (though it need not understand you), it must succeed on a Wisdom saving throw or take 1d4 psychic damage and have disadvantage on the next Attack roll it makes before the end of its next turn._x000D_
_x000D_
This spell's damage increases by 1d4 when you reach 5th Level (2d4), 11th level (3d4), and 17th level (4d4).</t>
  </si>
  <si>
    <t>Bard, Druid, Ranger</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</si>
  <si>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</si>
  <si>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Spells ends._x000D_
_x000D_
At Higher Levels: When you cast this spell using a spell slot of 2nd Level or higher, you can affect one additional beast level above 1st.</t>
  </si>
  <si>
    <t>Bard, Druid</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</si>
  <si>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</si>
  <si>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radius._x000D_
_x000D_
Any Attack roll against an affected creature or object has advantage if the attacker can see it, and the affected creature or object can't benefit from being Invisible.</t>
  </si>
  <si>
    <t>Bard, Cleric, Druid</t>
  </si>
  <si>
    <t>Healing Word</t>
  </si>
  <si>
    <t>1d4 + SpAbil</t>
  </si>
  <si>
    <t>A creature of your choice that you can see within range regains Hit Points equal to 1d4 + your Spellcasting Ability modifier. This spell has no Effect on Undead or Constructs._x000D_
_x000D_
At Higher Levels: When you cast this spell using a spell slot of 2nd Level or higher, the Healing increases by 1d4 for each slot level above 1st.</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</si>
  <si>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</si>
  <si>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</si>
  <si>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</si>
  <si>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Animals._x000D_
_x000D_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spell._x000D_
_x000D_
At Higher Levels: If you cast this spell using a spell slot of 3rd Level or higher, the Duration of the spell increases by 48 hours for each slot level above 2nd.</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</si>
  <si>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</si>
  <si>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Effects._x000D_
_x000D_
You can suppress any Effect causing a target to be Charmed or Frightened. When this spell ends, any suppressed Effect resumes, provided that its Duration has not expired in the meantime._x000D_
_x000D_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</si>
  <si>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Druid, Sorcerer</t>
  </si>
  <si>
    <t>Enhance Ability</t>
  </si>
  <si>
    <t>You touch a creature and bestow upon it a magical enhancement. Choose one of the following Effects - the target gains the Effect until the spell ends._x000D_
_x000D_
Bear's Endurance: The target has advantage on Constitution Checks. It also gains 2d6 Temporary Hit Points, which are lost when the spell ends._x000D_
_x000D_
Bull's Strength: The target has advantage on Strength Checks, and his or her carrying Capacity doubles._x000D_
_x000D_
Cat's Grace: The target has advantage on Dexterity Checks. It also doesn't take damage from Falling 20 feet or less if it isn't Incapacitated._x000D_
_x000D_
Eagle's Splendor: The target has advantage on Charisma Checks._x000D_
_x000D_
Fox's Cunning: The target has advantage on Intelligence Checks._x000D_
_x000D_
Owl's Wisdom: The target has advantage on Wisdom Checks._x000D_
_x000D_
At Higher Levels: When you cast this spell using a spell slot of 3rd Level or higher, you can target one additional creature for each slot level above 2nd.</t>
  </si>
  <si>
    <t>Bard, Warlock</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</si>
  <si>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</si>
  <si>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</si>
  <si>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</si>
  <si>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again._x000D_
_x000D_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turn._x000D_
_x000D_
At Higher Levels: When you cast this spell using a spell slot of 3rd Level or higher, the damage increases by 1d8 for each slot above 2nd.</t>
  </si>
  <si>
    <t>Locate Animals or Plants</t>
  </si>
  <si>
    <t>Describe or name a specific kind of beast or plant. Concentrating on the voice of Nature in your surroundings, you learn the direction and distance to the closest creature or plant of that kind within 5 miles, if any are present.</t>
  </si>
  <si>
    <t>Bard, Cleric, Ranger</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</si>
  <si>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</si>
  <si>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</si>
  <si>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Plant Growth</t>
  </si>
  <si>
    <t>Action (8 Hours)</t>
  </si>
  <si>
    <t>This spell channels vitality into Plants within a specific area. There are two possible uses for the spell, granting either immediate or long-term benefits._x000D_
_x000D_
If you cast this spell using 1 action, choose a point within range. All normal Plants in a 100-foot radius centered on that point become thick and overgrown. A creature moving through the area must spend 4 feet of Movement for every 1 foot it moves._x000D_
_x000D_
You can exclude one or more areas of any size within the spell's area from being affected._x000D_
_x000D_
If you cast this spell over 8 hours, you enrich the land. All Plants in a half-mile radius centered on a point within range become enriched for 1 year. The Plants yield twice the normal amount of food when harvested.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</si>
  <si>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</si>
  <si>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days._x000D_
_x000D_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</si>
  <si>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Speak With Plants</t>
  </si>
  <si>
    <t>Self (30 radius)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</si>
  <si>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circumstances._x000D_
_x000D_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example._x000D_
_x000D_
Plants might be able to perform other tasks on your behalf, at the DM's discretion. The spell doesn't enable Plants to uproot themselves and move about, but they can freely move branches, tendrils, and stalks._x000D_
_x000D_
If a plant creature is in the area, you can communicate with it as if you shared a Common language, but you gain no magical ability to Influence it._x000D_
_x000D_
This spell can cause the Plants created by the Entangle spell to release a Restrained creature.</t>
  </si>
  <si>
    <t>Complusion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</si>
  <si>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to try to end the effect. A target isn't compelled to move into an obviously deadly hazard, such as a fire or pit, but it will provoke opportunity attacks to move in the designated direction.</t>
  </si>
  <si>
    <t>Bard, Cleric, Druid, Ranger</t>
  </si>
  <si>
    <t>Freedom of Movement</t>
  </si>
  <si>
    <t>You touch a willing creature. For the Duration, the target's Movement is unaffected by Difficult Terrain, and Spells and other magical Effects can neither reduce the target's speed nor cause the target to be Paralyzed or Restrained._x000D_
_x000D_
The target can also spend 5 feet of Movement to automatically Escape from nonmagical restraints, such as Manacles or a creature that has it Grappled. Finally, being Underwater imposes no penalties on the target's Movement or attacks.</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</si>
  <si>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</si>
  <si>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Tree._x000D_
_x000D_
The awakened beast or plant is Charmed by you for 30 days or until you and your companions do anything harmful to it. When the Charmed condition ends, the awakened creature chooses whether to remain friendly to you, based on how you treated it while it was Charmed.</t>
  </si>
  <si>
    <t>VSM 1000gp Agate</t>
  </si>
  <si>
    <t>Greater Restoration</t>
  </si>
  <si>
    <t>You imbue a creature you touch with positive energy to undo a debilitating Effect. You can reduce the target's Exhaustion level by one, or end one of the following Effects on the target._x000D_
_x000D_
• One Effect that Charmed or Petrified the target_x000D_
_x000D_
• One curse, including the target's Attunement to a Cursed magic item_x000D_
_x000D_
• Any reduction to one of the target's Ability Scores_x000D_
_x000D_
• One Effect reducing the target's hit point maximum</t>
  </si>
  <si>
    <t>Mass Cure Wounds</t>
  </si>
  <si>
    <t>3d8 + SpAbil</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</si>
  <si>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Constructs._x000D_
_x000D_
At Higher Levels: When you cast this spell using a spell slot of 6th level or higher, the Healing increases by 1d8 for each slot level above 5th.</t>
  </si>
  <si>
    <t>Raise Dead</t>
  </si>
  <si>
    <t>VSM 500gp Diamond (consumed)</t>
  </si>
  <si>
    <t>You return a dead creature you touch to life, provided that it has been dead no longer than 10 days. If the creature's soul is both willing and at liberty to rejoin the body, the creature returns to life with 1 hit point._x000D_
_x000D_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life._x000D_
_x000D_
This spell closes all mortal wounds, but it doesn't restore missing body parts. If the creature is lacking body parts or organs integral for its Survival - its head, for instance - the spell automatically fails._x000D_
_x000D_
Coming back from the dead is an ordeal. The target takes a -4 penalty to all Attack Rolls, Saving Throws, and Ability Checks. Every time the target finishes a Long Rest, the penalty is reduced by 1 until it disappears.</t>
  </si>
  <si>
    <t>Find the Path</t>
  </si>
  <si>
    <t>VSM 100gp divinatory tools</t>
  </si>
  <si>
    <t>This spell allows you to find the shortest, most direct physical route to a specific fixed Location that you are familiar with on the same plane of existence. If you name a destination on another plane of existence, a destination that moves (such as a Mobile fortress), or a destination that isn't specific (such as a green dragon's lair), the spell fails._x000D_
_x000D_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</si>
  <si>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Regenerate</t>
  </si>
  <si>
    <t>4d8 + 15</t>
  </si>
  <si>
    <t>You touch a creature and stimulate its natural Healing ability. The target regains 4d8 + 15 Hit Points. For the Duration of the spell, the target regains 1 hit point at the start of each of its turns (10 Hit Points each minute)._x000D_
_x000D_
The target's severed body Members (fingers, legs, tails, and so on), if any, are restored after 2 minutes. If you have the severed part and hold it to the stump, the spell instantaneously causes the limb to knit to the stump.</t>
  </si>
  <si>
    <t>Resurrection</t>
  </si>
  <si>
    <t>VSM 1000gp Diamond (consumed)</t>
  </si>
  <si>
    <t>You touch a dead creature that has been dead for no more than a century, that didn't die of old age, and that isn't Undead. If its soul is free and willing, the target returns to life with all its Hit Points._x000D_
_x000D_
This spell neutralizes any Poisons and cures normal Diseases afflicting the creature when it died. It doesn't, however, remove magical Diseases, Curses, and the like, if such affects aren't removed prior to casting the spell, they afflict the target on its return to life._x000D_
_x000D_
This spell closes all mortal wounds and restores any missing body parts._x000D_
_x000D_
Coming back from the dead is an ordeal. The target takes a -4 penalty to all Attack Rolls, Saving Throws, and Ability Checks. Every time the target finishes a Long Rest, the penalty is reduced by 1 until it disappears._x000D_
_x000D_
Casting this spell to restore life to a creature that has been dead for one year or longer taxes you greatly. Until you finish a Long Rest, you can't cast Spells again, and you have disadvantage on all Attack Rolls, Ability Checks, and Saving Throws.</t>
  </si>
  <si>
    <t>Glibness</t>
  </si>
  <si>
    <t>Until the spell ends, when you make a Charisma check, you can replace the number you roll with a 15. Additionally, no matter what you say, magic that would determine if you are telling the truth indicates that you are being truthful.</t>
  </si>
  <si>
    <t>whatsthis</t>
  </si>
  <si>
    <t>background-condense</t>
  </si>
  <si>
    <t>spells-condense</t>
  </si>
  <si>
    <t>Tracked Statuses</t>
  </si>
  <si>
    <t>Size configuration</t>
  </si>
  <si>
    <t>Pane1</t>
  </si>
  <si>
    <t>Pane2</t>
  </si>
  <si>
    <t>Pane3</t>
  </si>
  <si>
    <t>Pane4</t>
  </si>
  <si>
    <t>Pane5</t>
  </si>
  <si>
    <t>Default</t>
  </si>
  <si>
    <t>8,8,8</t>
  </si>
  <si>
    <t>17,8.57,8.57</t>
  </si>
  <si>
    <t>15,15,15,15,15,10,10</t>
  </si>
  <si>
    <t>15,13,13</t>
  </si>
  <si>
    <t>Character Name</t>
  </si>
  <si>
    <t>Hit</t>
  </si>
  <si>
    <t>Dice</t>
  </si>
  <si>
    <t>Bkgnd</t>
  </si>
  <si>
    <t>XP</t>
  </si>
  <si>
    <t>Align</t>
  </si>
  <si>
    <t>Action Economy</t>
  </si>
  <si>
    <t>Max Charges</t>
  </si>
  <si>
    <t>"FFB028"</t>
  </si>
  <si>
    <t>"FF9326"</t>
  </si>
  <si>
    <t>"ffeaab"</t>
  </si>
  <si>
    <t>"f57f2a"</t>
  </si>
  <si>
    <t>"bdbdbd"</t>
  </si>
  <si>
    <t>Initiative</t>
  </si>
  <si>
    <t>Stat Block</t>
  </si>
  <si>
    <t>Max HP</t>
  </si>
  <si>
    <t>Group</t>
  </si>
  <si>
    <t>Saved Monster Groups</t>
  </si>
  <si>
    <t>Current Monster Blocks</t>
  </si>
  <si>
    <t>Modifier</t>
  </si>
  <si>
    <t>Terror Wide</t>
  </si>
  <si>
    <t>9,9,9</t>
  </si>
  <si>
    <t>20,11.57,11.57</t>
  </si>
  <si>
    <t>16.57,16.57,16.57,16.57,16.57,11.57,11.57</t>
  </si>
  <si>
    <t>18,16,16</t>
  </si>
  <si>
    <t>Erebus</t>
  </si>
  <si>
    <t>7.13,7.13,7.13</t>
  </si>
  <si>
    <t>14.13,5.67,5.67</t>
  </si>
  <si>
    <t>13.13,13.13,13.13,13.13,13.13,8.13,8.13</t>
  </si>
  <si>
    <t>12.13,10.13,10.13</t>
  </si>
  <si>
    <t>notes-information</t>
  </si>
  <si>
    <t>Gameplay</t>
  </si>
  <si>
    <t>Tools and Utilities</t>
  </si>
  <si>
    <t>Personalization</t>
  </si>
  <si>
    <t>Developer</t>
  </si>
  <si>
    <t>sh-index</t>
  </si>
  <si>
    <t>Background</t>
  </si>
  <si>
    <t>Spells</t>
  </si>
  <si>
    <t>Aura of Vitality</t>
  </si>
  <si>
    <t>Self (30ft)</t>
  </si>
  <si>
    <t>Healing energy radiates from you in an aura with a 30-foot radius. Until the spell ends, the aura moves with you, centered on you._x000D_
_x000D_
You can use a bonus action to cause one creature in the aura (including you) to regain 2d6 hit points.</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</si>
  <si>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</si>
  <si>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ends._x000D_
_x000D_
A creature blinded by this spell makes another Constitution saving throw at the end of each of its turns. On a successful save, it is no longer blinded.</t>
  </si>
  <si>
    <t>Artificer, Cleric, Paladin</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</si>
  <si>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</si>
  <si>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</si>
  <si>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Crusader's Mantle</t>
  </si>
  <si>
    <t>1d4</t>
  </si>
  <si>
    <t>Holy power radiates from you in an aura with a 30-foot radius, awakening boldness in friendly creatures._x000D_
_x000D_
Until the spell ends, the aura moves with you, centered on you._x000D_
_x000D_
While in the aura, each non-hostile creature in the aura (including you) deals an extra 1d4 radiant damage when it hits with a weapon attack.</t>
  </si>
  <si>
    <t>Cleric, Druid, Paladin, Ranger, Sorcerer</t>
  </si>
  <si>
    <t>Daylight</t>
  </si>
  <si>
    <t>A 60-foot-radius sphere of light spreads out from a point you choose within range. The sphere is bright light and sheds dim light for an additional 60 feet._x000D_
_x000D_
If you chose a point on an object you are holding or one that isn’t being worn or carried, the light shines from the object with and moves with it. Completely covering the affected object with an opaque object, such as a bowl or a helm, blocks the light._x000D_
_x000D_
If any of this spell’s area overlaps with an area of darkness created by a spell of 3rd level or lower, the spell that created the darkness is dispelled.</t>
  </si>
  <si>
    <t>Artificer, Druid, Paladin, Ranger</t>
  </si>
  <si>
    <t>Elemental Weapon</t>
  </si>
  <si>
    <t>A nonmagical weapon you touch becomes a magic weapon. Choose one of the following damage types: acid, cold, fire, lightning, or thunder. For the duration, the weapon has a +1 bonus to attack rolls and deals an extra 1d4 damage of the chosen type when it hits._x000D_
_x000D_
At Higher Levels_x000D_
When you cast this spell using a spell slot of 5th or 6th level, the bonus to attack rolls increases to +2 and the extra damage increases to 2d4. When you use a spell slot of 7th level or higher, the bonus increases to +3 and the extra damage increases to 3d4.</t>
  </si>
  <si>
    <t>Artificer, Cleric, Druid, Paladin, Ranger</t>
  </si>
  <si>
    <t>Revivify</t>
  </si>
  <si>
    <t>VSM (300g Diamonds consumed)</t>
  </si>
  <si>
    <t>You touch a creature that has died within the last minute. That creature returns to life with 1 hit point. This spell can’t return to life a creature that has died of old age, nor can it restore any missing body parts.</t>
  </si>
  <si>
    <t>Spirit Shroud</t>
  </si>
  <si>
    <t>You call forth spirits of the dead, which flit around you for the spell’s duration. The spirits are intangible and invulnerable._x000D_
_x000D_
Until the spell ends, any attack you make deals 1d8 extra damage when you hit a creature within 10 feet of you. This damage is radiant, necrotic, or cold (your choice when you cast the spell). Any creature that takes this damage can’t regain hit points until the start of your next turn._x000D_
_x000D_
In addition, any creature of your choice that you can see that starts its turn within 10 feet of you has its speed reduced by 10 feet until the start of your next turn._x000D_
_x000D_
At Higher Levels_x000D_
When you cast this spell using a spell slot of 4th level or higher, the damage increases by 1d8 for every two slot levels above 3rd.</t>
  </si>
  <si>
    <t>MonsterSize</t>
  </si>
  <si>
    <t>MonsterPaneColMap</t>
  </si>
  <si>
    <t>15,15,15</t>
  </si>
  <si>
    <t>15,8,8</t>
  </si>
  <si>
    <t>15,15,15,15,15,7.57,7.75</t>
  </si>
  <si>
    <t>Wide</t>
  </si>
  <si>
    <t>Narrow</t>
  </si>
  <si>
    <t>Spell List</t>
  </si>
  <si>
    <t>Details</t>
  </si>
  <si>
    <t>Ctrl+Shift+M will switch to this sheet</t>
  </si>
  <si>
    <t>Init</t>
  </si>
  <si>
    <t>monsterswkbk</t>
  </si>
  <si>
    <t>Stat Blocks 1.0</t>
  </si>
  <si>
    <t>Version 3.2.1</t>
  </si>
  <si>
    <t>Template 3.2.1-Anonymized.xlsm</t>
  </si>
  <si>
    <t>Vera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</si>
</sst>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rgb="FFF5F5F5"/>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8"/>
      <name val="Calibri"/>
      <family val="2"/>
      <scheme val="minor"/>
    </font>
    <font>
      <sz val="11"/>
      <color theme="1" tint="0.499984740745262"/>
      <name val="Calibri"/>
      <family val="2"/>
      <scheme val="minor"/>
    </font>
    <font>
      <sz val="8"/>
      <color rgb="FF000000"/>
      <name val="Segoe UI"/>
      <family val="2"/>
    </font>
    <font>
      <b/>
      <sz val="11"/>
      <color theme="0"/>
      <name val="Calibri"/>
      <family val="2"/>
      <scheme val="minor"/>
    </font>
    <font>
      <b/>
      <sz val="11"/>
      <color rgb="FF00F66F"/>
      <name val="Calibri"/>
      <family val="2"/>
      <scheme val="minor"/>
    </font>
    <font>
      <b/>
      <u/>
      <sz val="11"/>
      <color rgb="FF00F66F"/>
      <name val="Calibri"/>
      <family val="2"/>
      <scheme val="minor"/>
    </font>
    <font>
      <b/>
      <u/>
      <sz val="11"/>
      <color rgb="FFFFEB9C"/>
      <name val="Calibri"/>
      <family val="2"/>
      <scheme val="minor"/>
    </font>
    <font>
      <b/>
      <u/>
      <sz val="11"/>
      <color rgb="FFFF7182"/>
      <name val="Calibri"/>
      <family val="2"/>
      <scheme val="minor"/>
    </font>
    <font>
      <sz val="11"/>
      <color rgb="FFFF8594"/>
      <name val="Calibri"/>
      <family val="2"/>
      <scheme val="minor"/>
    </font>
    <font>
      <sz val="11"/>
      <color rgb="FFFFEFAB"/>
      <name val="Calibri"/>
      <family val="2"/>
      <scheme val="minor"/>
    </font>
    <font>
      <sz val="11"/>
      <color rgb="FF0DFF7A"/>
      <name val="Calibri"/>
      <family val="2"/>
      <scheme val="minor"/>
    </font>
    <font>
      <sz val="8"/>
      <color theme="0"/>
      <name val="Calibri"/>
      <family val="2"/>
      <scheme val="minor"/>
    </font>
    <font>
      <sz val="10"/>
      <color theme="1"/>
      <name val="Consolas"/>
      <family val="3"/>
    </font>
    <font>
      <b/>
      <sz val="11"/>
      <color rgb="FFF5F5F5"/>
      <name val="Calibri"/>
      <family val="2"/>
      <scheme val="minor"/>
    </font>
    <font>
      <b/>
      <sz val="11"/>
      <color rgb="FFF5F5F5"/>
      <name val="Calibri"/>
      <family val="2"/>
    </font>
    <font>
      <sz val="11"/>
      <color rgb="FFF5F5F5"/>
      <name val="Calibri"/>
      <family val="2"/>
      <scheme val="minor"/>
    </font>
    <font>
      <b/>
      <u/>
      <sz val="11"/>
      <color rgb="FFF5F5F5"/>
      <name val="Calibri"/>
      <family val="2"/>
    </font>
    <font>
      <b/>
      <sz val="9"/>
      <color rgb="FFF5F5F5"/>
      <name val="Calibri"/>
      <family val="2"/>
      <scheme val="minor"/>
    </font>
    <font>
      <sz val="11"/>
      <color rgb="FFF5F5F5"/>
      <name val="Calibri"/>
      <family val="2"/>
    </font>
    <font>
      <i/>
      <sz val="11"/>
      <color rgb="FFF5F5F5"/>
      <name val="Calibri"/>
      <family val="2"/>
    </font>
    <font>
      <b/>
      <sz val="11"/>
      <color rgb="FF000000"/>
      <name val="Calibri"/>
      <family val="2"/>
    </font>
    <font>
      <sz val="11"/>
      <color rgb="FF006100"/>
      <name val="Calibri"/>
      <family val="2"/>
      <scheme val="minor"/>
    </font>
  </fonts>
  <fills count="21">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6" tint="0.59999389629810485"/>
        <bgColor indexed="65"/>
      </patternFill>
    </fill>
    <fill>
      <patternFill patternType="solid">
        <fgColor theme="0"/>
        <bgColor indexed="64"/>
      </patternFill>
    </fill>
    <fill>
      <patternFill patternType="solid">
        <fgColor theme="2" tint="-9.9948118533890809E-2"/>
        <bgColor indexed="64"/>
      </patternFill>
    </fill>
    <fill>
      <patternFill patternType="solid">
        <fgColor theme="1"/>
        <bgColor theme="1"/>
      </patternFill>
    </fill>
    <fill>
      <patternFill patternType="solid">
        <fgColor theme="2" tint="-0.499984740745262"/>
        <bgColor indexed="64"/>
      </patternFill>
    </fill>
    <fill>
      <patternFill patternType="solid">
        <fgColor rgb="FF7E000F"/>
        <bgColor indexed="64"/>
      </patternFill>
    </fill>
    <fill>
      <patternFill patternType="solid">
        <fgColor rgb="FF766000"/>
        <bgColor indexed="64"/>
      </patternFill>
    </fill>
    <fill>
      <patternFill patternType="solid">
        <fgColor rgb="FF195725"/>
        <bgColor indexed="64"/>
      </patternFill>
    </fill>
    <fill>
      <patternFill patternType="solid">
        <fgColor rgb="FF808080"/>
        <bgColor theme="1"/>
      </patternFill>
    </fill>
    <fill>
      <patternFill patternType="solid">
        <fgColor rgb="FF000000"/>
        <bgColor theme="1"/>
      </patternFill>
    </fill>
    <fill>
      <patternFill patternType="gray0625">
        <fgColor rgb="FF808080"/>
        <bgColor rgb="FF000000"/>
      </patternFill>
    </fill>
    <fill>
      <patternFill patternType="solid">
        <fgColor rgb="FF404040"/>
        <bgColor theme="0"/>
      </patternFill>
    </fill>
    <fill>
      <patternFill patternType="solid">
        <fgColor rgb="FF262626"/>
        <bgColor theme="1"/>
      </patternFill>
    </fill>
    <fill>
      <patternFill patternType="solid">
        <fgColor rgb="FF000000"/>
        <bgColor indexed="64"/>
      </patternFill>
    </fill>
    <fill>
      <patternFill patternType="solid">
        <fgColor theme="0" tint="-0.499984740745262"/>
        <bgColor indexed="64"/>
      </patternFill>
    </fill>
    <fill>
      <patternFill patternType="solid">
        <fgColor rgb="FFC6EFCE"/>
      </patternFill>
    </fill>
    <fill>
      <patternFill patternType="solid">
        <fgColor theme="1" tint="0.24994659260841701"/>
        <bgColor theme="0"/>
      </patternFill>
    </fill>
  </fills>
  <borders count="15">
    <border>
      <left/>
      <right/>
      <top/>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right style="thin">
        <color auto="1"/>
      </right>
      <top/>
      <bottom/>
      <diagonal/>
    </border>
    <border>
      <left/>
      <right style="thin">
        <color auto="1"/>
      </right>
      <top style="thin">
        <color auto="1"/>
      </top>
      <bottom style="thin">
        <color auto="1"/>
      </bottom>
      <diagonal/>
    </border>
    <border>
      <left/>
      <right/>
      <top style="thin">
        <color theme="0"/>
      </top>
      <bottom style="thin">
        <color theme="0"/>
      </bottom>
      <diagonal/>
    </border>
    <border>
      <left style="thin">
        <color theme="0"/>
      </left>
      <right style="thin">
        <color theme="0"/>
      </right>
      <top/>
      <bottom style="thin">
        <color theme="0"/>
      </bottom>
      <diagonal/>
    </border>
    <border>
      <left/>
      <right style="thin">
        <color rgb="FF5B9BD5"/>
      </right>
      <top/>
      <bottom/>
      <diagonal/>
    </border>
    <border>
      <left style="thin">
        <color rgb="FF5B9BD5"/>
      </left>
      <right/>
      <top/>
      <bottom/>
      <diagonal/>
    </border>
    <border>
      <left/>
      <right/>
      <top/>
      <bottom style="thin">
        <color rgb="FFF5F5F5"/>
      </bottom>
      <diagonal/>
    </border>
    <border>
      <left style="thin">
        <color rgb="FFF5F5F5"/>
      </left>
      <right style="thin">
        <color rgb="FFF5F5F5"/>
      </right>
      <top style="thin">
        <color rgb="FFF5F5F5"/>
      </top>
      <bottom style="thin">
        <color rgb="FFF5F5F5"/>
      </bottom>
      <diagonal/>
    </border>
    <border>
      <left style="thin">
        <color rgb="FF5B9BD5"/>
      </left>
      <right style="thin">
        <color rgb="FF5B9BD5"/>
      </right>
      <top style="thin">
        <color rgb="FF5B9BD5"/>
      </top>
      <bottom style="thin">
        <color rgb="FF5B9BD5"/>
      </bottom>
      <diagonal/>
    </border>
    <border>
      <left/>
      <right/>
      <top/>
      <bottom style="thin">
        <color theme="0"/>
      </bottom>
      <diagonal/>
    </border>
    <border>
      <left/>
      <right/>
      <top style="thin">
        <color auto="1"/>
      </top>
      <bottom style="thin">
        <color auto="1"/>
      </bottom>
      <diagonal/>
    </border>
  </borders>
  <cellStyleXfs count="27">
    <xf numFmtId="0" fontId="0" fillId="13" borderId="0">
      <alignment horizontal="left"/>
    </xf>
    <xf numFmtId="0" fontId="11" fillId="2" borderId="0" applyNumberFormat="0" applyBorder="0" applyAlignment="0" applyProtection="0"/>
    <xf numFmtId="0" fontId="9" fillId="3" borderId="0" applyNumberFormat="0" applyBorder="0" applyAlignment="0" applyProtection="0"/>
    <xf numFmtId="0" fontId="12" fillId="0" borderId="0" applyNumberFormat="0" applyFill="0" applyBorder="0" applyAlignment="0" applyProtection="0"/>
    <xf numFmtId="0" fontId="21" fillId="9" borderId="0" applyNumberFormat="0" applyBorder="0" applyAlignment="0" applyProtection="0"/>
    <xf numFmtId="0" fontId="23" fillId="11" borderId="0" applyNumberFormat="0" applyBorder="0" applyAlignment="0" applyProtection="0"/>
    <xf numFmtId="0" fontId="9" fillId="4" borderId="0" applyNumberFormat="0" applyBorder="0" applyAlignment="0" applyProtection="0"/>
    <xf numFmtId="0" fontId="22" fillId="10" borderId="0" applyNumberFormat="0" applyBorder="0" applyAlignment="0" applyProtection="0"/>
    <xf numFmtId="0" fontId="9" fillId="0" borderId="0"/>
    <xf numFmtId="0" fontId="9" fillId="5" borderId="0"/>
    <xf numFmtId="0" fontId="26" fillId="13" borderId="11">
      <alignment horizontal="left"/>
    </xf>
    <xf numFmtId="0" fontId="28" fillId="15" borderId="0">
      <alignment horizontal="left"/>
    </xf>
    <xf numFmtId="0" fontId="26" fillId="14" borderId="0">
      <alignment horizontal="left"/>
    </xf>
    <xf numFmtId="0" fontId="33" fillId="13" borderId="6">
      <alignment horizontal="left"/>
    </xf>
    <xf numFmtId="0" fontId="30" fillId="16" borderId="12">
      <alignment horizontal="center" vertical="center"/>
    </xf>
    <xf numFmtId="0" fontId="26" fillId="13" borderId="10">
      <alignment horizontal="left"/>
    </xf>
    <xf numFmtId="0" fontId="29" fillId="13" borderId="0">
      <alignment horizontal="left"/>
    </xf>
    <xf numFmtId="0" fontId="27" fillId="13" borderId="0">
      <alignment horizontal="left"/>
    </xf>
    <xf numFmtId="0" fontId="31" fillId="12" borderId="14">
      <alignment horizontal="left"/>
    </xf>
    <xf numFmtId="0" fontId="1" fillId="18" borderId="0"/>
    <xf numFmtId="0" fontId="1" fillId="4" borderId="0" applyNumberFormat="0" applyBorder="0" applyAlignment="0" applyProtection="0"/>
    <xf numFmtId="0" fontId="34" fillId="19" borderId="0" applyNumberFormat="0" applyBorder="0" applyAlignment="0" applyProtection="0"/>
    <xf numFmtId="0" fontId="11" fillId="20" borderId="0">
      <alignment horizontal="left"/>
    </xf>
    <xf numFmtId="0" fontId="31" fillId="13" borderId="0">
      <alignment horizontal="left"/>
    </xf>
    <xf numFmtId="0" fontId="23" fillId="11" borderId="0" applyNumberFormat="0" applyBorder="0" applyAlignment="0" applyProtection="0"/>
    <xf numFmtId="0" fontId="26" fillId="13" borderId="11">
      <alignment horizontal="left"/>
    </xf>
    <xf numFmtId="0" fontId="28" fillId="15" borderId="0">
      <alignment horizontal="left"/>
    </xf>
  </cellStyleXfs>
  <cellXfs count="51">
    <xf numFmtId="0" fontId="0" fillId="13" borderId="0" xfId="0">
      <alignment horizontal="left"/>
    </xf>
    <xf numFmtId="0" fontId="23" fillId="11" borderId="0" xfId="5" applyAlignment="1">
      <alignment horizontal="left"/>
    </xf>
    <xf numFmtId="0" fontId="22" fillId="10" borderId="0" xfId="7" applyAlignment="1">
      <alignment horizontal="left"/>
    </xf>
    <xf numFmtId="0" fontId="21" fillId="9" borderId="0" xfId="4" applyAlignment="1">
      <alignment horizontal="left"/>
    </xf>
    <xf numFmtId="0" fontId="10" fillId="13" borderId="0" xfId="0" applyFont="1">
      <alignment horizontal="left"/>
    </xf>
    <xf numFmtId="0" fontId="28" fillId="15" borderId="0" xfId="11">
      <alignment horizontal="left"/>
    </xf>
    <xf numFmtId="0" fontId="0" fillId="8" borderId="6" xfId="0" applyFill="1" applyBorder="1">
      <alignment horizontal="left"/>
    </xf>
    <xf numFmtId="0" fontId="8" fillId="5" borderId="6" xfId="0" applyFont="1" applyFill="1" applyBorder="1">
      <alignment horizontal="left"/>
    </xf>
    <xf numFmtId="0" fontId="26" fillId="14" borderId="0" xfId="12">
      <alignment horizontal="left"/>
    </xf>
    <xf numFmtId="0" fontId="26" fillId="13" borderId="11" xfId="10">
      <alignment horizontal="left"/>
    </xf>
    <xf numFmtId="0" fontId="26" fillId="13" borderId="7" xfId="10" applyBorder="1">
      <alignment horizontal="left"/>
    </xf>
    <xf numFmtId="0" fontId="6" fillId="15" borderId="0" xfId="11" applyFont="1">
      <alignment horizontal="left"/>
    </xf>
    <xf numFmtId="0" fontId="18" fillId="11" borderId="0" xfId="5" applyFont="1"/>
    <xf numFmtId="0" fontId="19" fillId="10" borderId="0" xfId="7" applyFont="1"/>
    <xf numFmtId="0" fontId="20" fillId="9" borderId="0" xfId="4" applyFont="1"/>
    <xf numFmtId="0" fontId="24" fillId="13" borderId="0" xfId="0" applyFont="1">
      <alignment horizontal="left"/>
    </xf>
    <xf numFmtId="0" fontId="16" fillId="13" borderId="0" xfId="0" applyFont="1">
      <alignment horizontal="left"/>
    </xf>
    <xf numFmtId="0" fontId="4" fillId="5" borderId="6" xfId="0" applyFont="1" applyFill="1" applyBorder="1">
      <alignment horizontal="left"/>
    </xf>
    <xf numFmtId="0" fontId="0" fillId="13" borderId="0" xfId="0" applyAlignment="1">
      <alignment horizontal="left" vertical="center"/>
    </xf>
    <xf numFmtId="0" fontId="0" fillId="13" borderId="0" xfId="0" applyAlignment="1">
      <alignment horizontal="left" vertical="center" wrapText="1"/>
    </xf>
    <xf numFmtId="0" fontId="7" fillId="2" borderId="1" xfId="1" applyFont="1" applyBorder="1" applyAlignment="1">
      <alignment horizontal="left" vertical="center"/>
    </xf>
    <xf numFmtId="0" fontId="28" fillId="15" borderId="0" xfId="11" applyAlignment="1">
      <alignment horizontal="left" vertical="center"/>
    </xf>
    <xf numFmtId="0" fontId="0" fillId="13" borderId="4" xfId="0" applyBorder="1" applyAlignment="1">
      <alignment horizontal="left" vertical="center"/>
    </xf>
    <xf numFmtId="0" fontId="9" fillId="6" borderId="3" xfId="2" applyFill="1" applyBorder="1" applyAlignment="1">
      <alignment horizontal="left" vertical="center"/>
    </xf>
    <xf numFmtId="0" fontId="9" fillId="3" borderId="2" xfId="2" applyBorder="1" applyAlignment="1">
      <alignment horizontal="left" vertical="center"/>
    </xf>
    <xf numFmtId="0" fontId="9" fillId="6" borderId="2" xfId="2" applyFill="1" applyBorder="1" applyAlignment="1">
      <alignment horizontal="left" vertical="center"/>
    </xf>
    <xf numFmtId="0" fontId="5" fillId="2" borderId="1" xfId="1" applyFont="1" applyBorder="1" applyAlignment="1">
      <alignment horizontal="left" vertical="center"/>
    </xf>
    <xf numFmtId="0" fontId="0" fillId="13" borderId="5" xfId="0" applyBorder="1" applyAlignment="1">
      <alignment horizontal="left" vertical="center"/>
    </xf>
    <xf numFmtId="0" fontId="14" fillId="13" borderId="4" xfId="0" applyFont="1" applyBorder="1" applyAlignment="1">
      <alignment horizontal="left" vertical="center"/>
    </xf>
    <xf numFmtId="0" fontId="17" fillId="13" borderId="0" xfId="0" applyFont="1" applyAlignment="1">
      <alignment horizontal="left" vertical="center" wrapText="1"/>
    </xf>
    <xf numFmtId="0" fontId="25" fillId="13" borderId="0" xfId="0" applyFont="1" applyAlignment="1">
      <alignment horizontal="left" vertical="center"/>
    </xf>
    <xf numFmtId="0" fontId="10" fillId="13" borderId="0" xfId="0" applyFont="1" applyAlignment="1">
      <alignment horizontal="left" vertical="center" wrapText="1"/>
    </xf>
    <xf numFmtId="0" fontId="12" fillId="7" borderId="0" xfId="3" applyFill="1" applyAlignment="1">
      <alignment horizontal="left" vertical="center"/>
    </xf>
    <xf numFmtId="0" fontId="30" fillId="16" borderId="12" xfId="14">
      <alignment horizontal="center" vertical="center"/>
    </xf>
    <xf numFmtId="0" fontId="0" fillId="15" borderId="0" xfId="11" applyFont="1" applyAlignment="1">
      <alignment horizontal="left" vertical="center"/>
    </xf>
    <xf numFmtId="0" fontId="26" fillId="13" borderId="10" xfId="15">
      <alignment horizontal="left"/>
    </xf>
    <xf numFmtId="0" fontId="17" fillId="13" borderId="0" xfId="0" applyFont="1" applyAlignment="1">
      <alignment horizontal="left" vertical="center"/>
    </xf>
    <xf numFmtId="0" fontId="30" fillId="16" borderId="12" xfId="14" applyAlignment="1">
      <alignment horizontal="center" vertical="center" wrapText="1"/>
    </xf>
    <xf numFmtId="0" fontId="0" fillId="13" borderId="8" xfId="0" applyBorder="1" applyAlignment="1">
      <alignment horizontal="left" vertical="center"/>
    </xf>
    <xf numFmtId="0" fontId="0" fillId="13" borderId="9" xfId="0" applyBorder="1" applyAlignment="1">
      <alignment horizontal="left" vertical="center"/>
    </xf>
    <xf numFmtId="11" fontId="0" fillId="13" borderId="0" xfId="0" applyNumberFormat="1">
      <alignment horizontal="left"/>
    </xf>
    <xf numFmtId="0" fontId="33" fillId="13" borderId="6" xfId="13">
      <alignment horizontal="left"/>
    </xf>
    <xf numFmtId="0" fontId="29" fillId="13" borderId="0" xfId="16">
      <alignment horizontal="left"/>
    </xf>
    <xf numFmtId="0" fontId="27" fillId="13" borderId="0" xfId="17">
      <alignment horizontal="left"/>
    </xf>
    <xf numFmtId="14" fontId="0" fillId="13" borderId="0" xfId="0" applyNumberFormat="1">
      <alignment horizontal="left"/>
    </xf>
    <xf numFmtId="0" fontId="0" fillId="13" borderId="0" xfId="0" applyAlignment="1">
      <alignment vertical="center"/>
    </xf>
    <xf numFmtId="0" fontId="33" fillId="13" borderId="13" xfId="13" applyBorder="1">
      <alignment horizontal="left"/>
    </xf>
    <xf numFmtId="0" fontId="3" fillId="15" borderId="0" xfId="11" applyFont="1">
      <alignment horizontal="left"/>
    </xf>
    <xf numFmtId="0" fontId="2" fillId="4" borderId="0" xfId="6" applyFont="1" applyAlignment="1">
      <alignment horizontal="left"/>
    </xf>
    <xf numFmtId="0" fontId="32" fillId="13" borderId="0" xfId="0" applyFont="1">
      <alignment horizontal="left"/>
    </xf>
    <xf numFmtId="0" fontId="0" fillId="17" borderId="6" xfId="0" applyFill="1" applyBorder="1">
      <alignment horizontal="left"/>
    </xf>
  </cellXfs>
  <cellStyles count="27">
    <cellStyle name="40% - Accent3" xfId="6" builtinId="39"/>
    <cellStyle name="40% - Accent3 2" xfId="20" xr:uid="{19E018E4-59A2-4791-BC65-238822643E02}"/>
    <cellStyle name="60% - Accent3" xfId="2" builtinId="40"/>
    <cellStyle name="Ability Scores" xfId="18" xr:uid="{44922A4D-3477-4A73-8C49-0A4C13AA1842}"/>
    <cellStyle name="Accent3" xfId="1" builtinId="37"/>
    <cellStyle name="Bad" xfId="4" builtinId="27" customBuiltin="1"/>
    <cellStyle name="Button" xfId="14" xr:uid="{26604973-0760-4CBF-8E99-E3A20565EC4B}"/>
    <cellStyle name="Column" xfId="12" xr:uid="{B58C04E0-DD45-416C-BA16-B9233070DC3D}"/>
    <cellStyle name="FirstRow" xfId="11" xr:uid="{9DDF5AA6-F980-4219-B6F8-74385537DAB0}"/>
    <cellStyle name="FirstRow 2" xfId="22" xr:uid="{36EFDAC6-7006-4540-97AA-014E5DE3B5D7}"/>
    <cellStyle name="FirstRow 2 2" xfId="26" xr:uid="{67EDF333-993D-4F7D-A65F-C836920238D1}"/>
    <cellStyle name="Good" xfId="5" builtinId="26" customBuiltin="1"/>
    <cellStyle name="Good 2" xfId="21" xr:uid="{40772419-EA42-4EEB-8223-53DE229F5C60}"/>
    <cellStyle name="Good 2 2" xfId="24" xr:uid="{03824837-DD40-450D-A792-EB1BAE1482A0}"/>
    <cellStyle name="Header" xfId="10" xr:uid="{1345050C-23FB-43DA-B134-109A6A8D4B02}"/>
    <cellStyle name="Header 2" xfId="15" xr:uid="{3F846933-89BD-4B40-BA99-0DF5A21ADC1A}"/>
    <cellStyle name="Header 2 2" xfId="25" xr:uid="{363C1252-AFDC-4B16-9CEF-78C056B900D2}"/>
    <cellStyle name="Header Blank" xfId="13" xr:uid="{F26054F5-A09B-466D-BB38-AC2BB7BB0139}"/>
    <cellStyle name="Hyperlink" xfId="3" builtinId="8"/>
    <cellStyle name="Neutral" xfId="7" builtinId="28" customBuiltin="1"/>
    <cellStyle name="Normal" xfId="0" builtinId="0" customBuiltin="1"/>
    <cellStyle name="Normal 2" xfId="19" xr:uid="{0C85F8A9-D001-47B1-A17B-838CF275D996}"/>
    <cellStyle name="Normal 2 2" xfId="23" xr:uid="{5A7314B8-6D9C-49FE-AD0D-EFE43E7D7236}"/>
    <cellStyle name="Normal Bold" xfId="17" xr:uid="{50804180-575D-481C-BA9F-B680BFF2FEAF}"/>
    <cellStyle name="Normal Emph" xfId="16" xr:uid="{E5CDE304-17A4-4866-8704-BA806CAC6847}"/>
    <cellStyle name="Unstyled" xfId="8" xr:uid="{AF661648-2476-4106-8170-9585BD19F9CF}"/>
    <cellStyle name="White" xfId="9" xr:uid="{F012D1B0-D8DE-4D4B-9B75-CF58DADA938E}"/>
  </cellStyles>
  <dxfs count="434">
    <dxf>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outline="0">
        <top style="thin">
          <color rgb="FFFFFFFF"/>
        </top>
        <bottom style="thin">
          <color rgb="FFFFFFFF"/>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00F66F"/>
      </font>
      <fill>
        <patternFill>
          <bgColor rgb="FF1A5C27"/>
        </patternFill>
      </fill>
    </dxf>
    <dxf>
      <font>
        <color rgb="FFFF8190"/>
      </font>
      <fill>
        <patternFill patternType="solid">
          <fgColor auto="1"/>
          <bgColor rgb="FF920011"/>
        </patternFill>
      </fill>
    </dxf>
    <dxf>
      <font>
        <color rgb="FF00F66F"/>
      </font>
      <fill>
        <patternFill>
          <bgColor rgb="FF1A5C27"/>
        </patternFill>
      </fill>
    </dxf>
    <dxf>
      <font>
        <color rgb="FFFF8190"/>
      </font>
      <fill>
        <patternFill patternType="solid">
          <fgColor auto="1"/>
          <bgColor rgb="FF92001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center" textRotation="0" wrapText="0" indent="0" justifyLastLine="0" shrinkToFit="0" readingOrder="0"/>
    </dxf>
    <dxf>
      <alignment horizontal="left" vertical="center" textRotation="0" wrapText="1" indent="0" justifyLastLine="0" shrinkToFit="0" readingOrder="0"/>
    </dxf>
    <dxf>
      <alignment horizontal="left" vertical="center" textRotation="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z val="10"/>
        <color theme="1"/>
        <name val="Consolas"/>
        <family val="3"/>
        <scheme val="none"/>
      </font>
      <alignment horizontal="left" vertical="center" textRotation="0" wrapText="0" indent="0" justifyLastLine="0" shrinkToFit="0" readingOrder="0"/>
    </dxf>
    <dxf>
      <alignment horizontal="left" vertical="center" textRotation="0" wrapText="0" indent="0" justifyLastLine="0" shrinkToFit="0" readingOrder="0"/>
      <border outline="0">
        <left style="thin">
          <color rgb="FF5B9BD5"/>
        </left>
      </border>
    </dxf>
    <dxf>
      <alignment horizontal="center" vertical="center" textRotation="0" wrapText="1" indent="0" justifyLastLine="0" shrinkToFit="0" readingOrder="0"/>
    </dxf>
    <dxf>
      <alignment horizontal="left" vertical="center" textRotation="0" wrapText="0" indent="0" justifyLastLine="0" shrinkToFit="0" readingOrder="0"/>
      <border outline="0">
        <left/>
        <right style="thin">
          <color rgb="FF5B9BD5"/>
        </right>
      </border>
    </dxf>
    <dxf>
      <alignment horizontal="left" vertical="center" textRotation="0" wrapText="0" indent="0" justifyLastLine="0" shrinkToFit="0" readingOrder="0"/>
    </dxf>
    <dxf>
      <alignment horizontal="left" vertical="center" textRotation="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font>
        <b/>
      </font>
      <alignment horizontal="left" vertical="center" textRotation="0" indent="0" justifyLastLine="0" shrinkToFit="0" readingOrder="0"/>
    </dxf>
    <dxf>
      <alignment horizontal="left" vertical="center" textRotation="0" indent="0" justifyLastLine="0" shrinkToFit="0" readingOrder="0"/>
      <border diagonalUp="0" diagonalDown="0">
        <left/>
        <right style="thin">
          <color auto="1"/>
        </right>
        <top/>
        <bottom/>
      </border>
    </dxf>
    <dxf>
      <border diagonalUp="0" diagonalDown="0">
        <left style="thin">
          <color auto="1"/>
        </left>
        <right style="thin">
          <color auto="1"/>
        </right>
        <top style="thin">
          <color auto="1"/>
        </top>
        <bottom style="thin">
          <color auto="1"/>
        </bottom>
      </border>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border diagonalUp="0" diagonalDown="0">
        <left/>
        <right style="thin">
          <color auto="1"/>
        </right>
        <top/>
        <bottom/>
        <vertical/>
        <horizontal/>
      </border>
    </dxf>
    <dxf>
      <border diagonalUp="0" diagonalDown="0">
        <left style="thin">
          <color auto="1"/>
        </left>
        <right style="thin">
          <color auto="1"/>
        </right>
        <top style="thin">
          <color auto="1"/>
        </top>
        <bottom style="thin">
          <color auto="1"/>
        </bottom>
      </border>
    </dxf>
    <dxf>
      <alignment horizontal="left" vertical="center" textRotation="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1" indent="0" justifyLastLine="0" shrinkToFit="0" readingOrder="0"/>
    </dxf>
    <dxf>
      <alignment horizontal="left" vertical="center" textRotation="0" justifyLastLine="0" shrinkToFit="0" readingOrder="0"/>
    </dxf>
    <dxf>
      <alignment horizontal="general"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z val="10"/>
        <color theme="1"/>
        <name val="Consolas"/>
        <family val="3"/>
        <scheme val="none"/>
      </font>
      <alignment horizontal="left" vertical="center" textRotation="0" wrapText="0" indent="0" justifyLastLine="0" shrinkToFit="0" readingOrder="0"/>
    </dxf>
    <dxf>
      <alignment horizontal="left" vertical="center" textRotation="0" wrapText="0" indent="0" justifyLastLine="0" shrinkToFit="0" readingOrder="0"/>
    </dxf>
    <dxf>
      <font>
        <b/>
        <i val="0"/>
        <strike val="0"/>
        <outline val="0"/>
        <shadow val="0"/>
        <u val="none"/>
        <vertAlign val="baseline"/>
        <sz val="11"/>
        <color rgb="FF00F66F"/>
        <name val="Calibri"/>
        <family val="2"/>
        <scheme val="minor"/>
      </font>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justifyLastLine="0" shrinkToFit="0" readingOrder="0"/>
    </dxf>
    <dxf>
      <alignment horizontal="left" vertical="center" textRotation="0" indent="0" justifyLastLine="0" shrinkToFit="0" readingOrder="0"/>
    </dxf>
    <dxf>
      <font>
        <color theme="0"/>
      </font>
      <fill>
        <patternFill>
          <bgColor theme="9" tint="-0.499984740745262"/>
        </patternFill>
      </fill>
    </dxf>
    <dxf>
      <font>
        <color theme="0"/>
      </font>
      <fill>
        <patternFill>
          <bgColor theme="9" tint="-0.499984740745262"/>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ont>
        <color theme="0"/>
      </font>
      <fill>
        <patternFill>
          <bgColor theme="9" tint="-0.499984740745262"/>
        </patternFill>
      </fill>
    </dxf>
    <dxf>
      <font>
        <color theme="0"/>
      </font>
      <fill>
        <patternFill>
          <bgColor theme="9" tint="-0.499984740745262"/>
        </patternFill>
      </fill>
    </dxf>
    <dxf>
      <font>
        <color theme="0"/>
      </font>
      <fill>
        <patternFill>
          <bgColor theme="4" tint="-0.499984740745262"/>
        </patternFill>
      </fill>
    </dxf>
    <dxf>
      <fill>
        <patternFill>
          <bgColor rgb="FFFF5050"/>
        </patternFill>
      </fill>
    </dxf>
    <dxf>
      <fill>
        <patternFill>
          <bgColor rgb="FF00B0F0"/>
        </patternFill>
      </fill>
    </dxf>
    <dxf>
      <fill>
        <patternFill>
          <bgColor theme="7" tint="0.39994506668294322"/>
        </patternFill>
      </fill>
    </dxf>
    <dxf>
      <fill>
        <patternFill>
          <bgColor rgb="FF9751CB"/>
        </patternFill>
      </fill>
    </dxf>
    <dxf>
      <fill>
        <patternFill>
          <bgColor theme="9" tint="0.59996337778862885"/>
        </patternFill>
      </fill>
    </dxf>
    <dxf>
      <fill>
        <patternFill>
          <bgColor theme="0" tint="-0.24994659260841701"/>
        </patternFill>
      </fill>
    </dxf>
    <dxf>
      <fill>
        <patternFill>
          <bgColor rgb="FFFF66CC"/>
        </patternFill>
      </fill>
    </dxf>
    <dxf>
      <fill>
        <patternFill>
          <bgColor theme="0"/>
        </patternFill>
      </fill>
    </dxf>
    <dxf>
      <fill>
        <patternFill>
          <bgColor rgb="FF92D050"/>
        </patternFill>
      </fill>
    </dxf>
    <dxf>
      <fill>
        <patternFill>
          <bgColor rgb="FF92D050"/>
        </patternFill>
      </fill>
    </dxf>
    <dxf>
      <fill>
        <patternFill>
          <bgColor rgb="FF00B0F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5" formatCode="0.00E+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font>
        <b/>
      </font>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bottom style="thin">
          <color theme="0"/>
        </bottom>
      </border>
    </dxf>
    <dxf>
      <alignment horizontal="left" vertical="bottom" textRotation="0" wrapText="0" indent="0" justifyLastLine="0" shrinkToFit="0" readingOrder="0"/>
    </dxf>
    <dxf>
      <alignment horizontal="left" vertical="bottom" textRotation="0" wrapText="0" justifyLastLine="0" shrinkToFit="0" readingOrder="0"/>
    </dxf>
    <dxf>
      <font>
        <b/>
      </font>
      <alignment horizontal="left" vertical="bottom" textRotation="0" wrapText="0" justifyLastLine="0" shrinkToFit="0" readingOrder="0"/>
    </dxf>
    <dxf>
      <alignment horizontal="left" vertical="bottom" textRotation="0" wrapText="0" justifyLastLine="0" shrinkToFit="0" readingOrder="0"/>
    </dxf>
    <dxf>
      <border outline="0">
        <bottom style="thin">
          <color theme="0"/>
        </bottom>
      </border>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border outline="0">
        <top style="thin">
          <color theme="0"/>
        </top>
        <bottom style="thin">
          <color theme="0"/>
        </bottom>
      </border>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0"/>
        </top>
      </border>
    </dxf>
    <dxf>
      <alignment horizontal="left" vertical="bottom" textRotation="0" wrapText="0" indent="0" justifyLastLine="0" shrinkToFit="0" readingOrder="0"/>
    </dxf>
    <dxf>
      <border outline="0">
        <bottom style="thin">
          <color theme="0"/>
        </bottom>
      </border>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outline val="0"/>
        <shadow val="0"/>
        <u val="none"/>
        <vertAlign val="baseline"/>
        <sz val="11"/>
        <color rgb="FFF5F5F5"/>
        <name val="Calibri"/>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color rgb="FF00F66F"/>
      </font>
      <fill>
        <patternFill>
          <bgColor rgb="FF1A5C27"/>
        </patternFill>
      </fill>
    </dxf>
    <dxf>
      <font>
        <color rgb="FFFF8190"/>
      </font>
      <fill>
        <patternFill patternType="solid">
          <fgColor auto="1"/>
          <bgColor rgb="FF920011"/>
        </patternFill>
      </fill>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patternType="solid">
          <fgColor theme="4" tint="-0.249977111117893"/>
          <bgColor theme="4" tint="-0.249977111117893"/>
        </patternFill>
      </fill>
    </dxf>
    <dxf>
      <font>
        <color rgb="FFF5F5F5"/>
      </font>
      <fill>
        <patternFill>
          <bgColor rgb="FF595959"/>
        </patternFill>
      </fill>
    </dxf>
    <dxf>
      <font>
        <color rgb="FFF5F5F5"/>
      </font>
      <fill>
        <patternFill patternType="solid">
          <fgColor theme="4" tint="-0.249977111117893"/>
          <bgColor rgb="FF404040"/>
        </patternFill>
      </fill>
    </dxf>
    <dxf>
      <font>
        <b/>
        <color theme="0"/>
      </font>
      <fill>
        <patternFill patternType="solid">
          <fgColor theme="4" tint="-0.249977111117893"/>
          <bgColor theme="4" tint="-0.249977111117893"/>
        </patternFill>
      </fill>
      <border>
        <left style="medium">
          <color theme="0"/>
        </left>
      </border>
    </dxf>
    <dxf>
      <font>
        <b/>
        <color theme="0"/>
      </font>
      <fill>
        <patternFill patternType="solid">
          <fgColor theme="4" tint="-0.249977111117893"/>
          <bgColor theme="4" tint="-0.249977111117893"/>
        </patternFill>
      </fill>
      <border>
        <right style="medium">
          <color theme="0"/>
        </right>
      </border>
    </dxf>
    <dxf>
      <font>
        <b/>
        <color theme="0"/>
      </font>
      <fill>
        <patternFill patternType="solid">
          <fgColor theme="4" tint="-0.499984740745262"/>
          <bgColor theme="4" tint="-0.499984740745262"/>
        </patternFill>
      </fill>
      <border>
        <top style="medium">
          <color theme="0"/>
        </top>
      </border>
    </dxf>
    <dxf>
      <font>
        <b/>
        <color rgb="FFF5F5F5"/>
      </font>
      <fill>
        <patternFill patternType="solid">
          <fgColor theme="1"/>
          <bgColor rgb="FF000000"/>
        </patternFill>
      </fill>
      <border>
        <bottom style="medium">
          <color theme="0"/>
        </bottom>
      </border>
    </dxf>
    <dxf>
      <font>
        <color theme="0"/>
      </font>
      <fill>
        <patternFill patternType="solid">
          <fgColor theme="4"/>
          <bgColor theme="4"/>
        </patternFill>
      </fill>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ill>
        <patternFill patternType="solid">
          <fgColor theme="4" tint="0.79998168889431442"/>
          <bgColor theme="4" tint="0.79998168889431442"/>
        </patternFill>
      </fill>
    </dxf>
    <dxf>
      <fill>
        <patternFill>
          <bgColor theme="0"/>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
      <font>
        <color rgb="FFF5F5F5"/>
      </font>
      <fill>
        <patternFill patternType="solid">
          <fgColor theme="9" tint="-0.24994659260841701"/>
          <bgColor rgb="FF404040"/>
        </patternFill>
      </fill>
    </dxf>
    <dxf>
      <font>
        <color rgb="FFF5F5F5"/>
      </font>
      <fill>
        <patternFill patternType="solid">
          <fgColor theme="4" tint="0.79964598529007846"/>
          <bgColor rgb="FF3A3838"/>
        </patternFill>
      </fill>
    </dxf>
    <dxf>
      <font>
        <b/>
        <color theme="1"/>
      </font>
    </dxf>
    <dxf>
      <font>
        <b/>
        <color theme="1"/>
      </font>
      <border>
        <right style="thin">
          <color theme="0"/>
        </right>
      </border>
    </dxf>
    <dxf>
      <font>
        <b/>
        <color theme="1"/>
      </font>
      <border>
        <top style="double">
          <color theme="4"/>
        </top>
      </border>
    </dxf>
    <dxf>
      <font>
        <b/>
        <i val="0"/>
        <color rgb="FFF5F5F5"/>
      </font>
      <fill>
        <patternFill patternType="solid">
          <fgColor theme="4"/>
          <bgColor rgb="FF000000"/>
        </patternFill>
      </fill>
      <border>
        <left style="thin">
          <color theme="0"/>
        </left>
        <right style="thin">
          <color theme="0"/>
        </right>
        <top style="thin">
          <color theme="0"/>
        </top>
        <bottom style="thin">
          <color theme="0"/>
        </bottom>
      </border>
    </dxf>
    <dxf>
      <font>
        <color theme="1"/>
      </font>
      <border diagonalUp="0" diagonalDown="0">
        <left/>
        <right/>
        <top/>
        <bottom/>
        <vertical/>
        <horizontal/>
      </border>
    </dxf>
  </dxfs>
  <tableStyles count="5" defaultTableStyle="TableStyleMedium2" defaultPivotStyle="PivotStyleLight16">
    <tableStyle name="General" pivot="0" count="7" xr9:uid="{35BA97B7-24CA-408E-AB28-73AFDC4C63BC}">
      <tableStyleElement type="wholeTable" dxfId="433"/>
      <tableStyleElement type="headerRow" dxfId="432"/>
      <tableStyleElement type="totalRow" dxfId="431"/>
      <tableStyleElement type="firstColumn" dxfId="430"/>
      <tableStyleElement type="lastColumn" dxfId="429"/>
      <tableStyleElement type="firstRowStripe" dxfId="428"/>
      <tableStyleElement type="secondRowStripe" dxfId="427"/>
    </tableStyle>
    <tableStyle name="General 2" pivot="0" count="8" xr9:uid="{D8038941-FABE-426E-9735-541DCE7051C5}">
      <tableStyleElement type="wholeTable" dxfId="426"/>
      <tableStyleElement type="headerRow" dxfId="425"/>
      <tableStyleElement type="totalRow" dxfId="424"/>
      <tableStyleElement type="firstColumn" dxfId="423"/>
      <tableStyleElement type="lastColumn" dxfId="422"/>
      <tableStyleElement type="firstRowStripe" dxfId="421"/>
      <tableStyleElement type="secondRowStripe" dxfId="420"/>
      <tableStyleElement type="firstColumnStripe" dxfId="419"/>
    </tableStyle>
    <tableStyle name="General 3" pivot="0" count="8" xr9:uid="{33E82209-A070-4B7F-A3E9-D6955F5F8B4B}">
      <tableStyleElement type="wholeTable" dxfId="418"/>
      <tableStyleElement type="headerRow" dxfId="417"/>
      <tableStyleElement type="totalRow" dxfId="416"/>
      <tableStyleElement type="firstColumn" dxfId="415"/>
      <tableStyleElement type="lastColumn" dxfId="414"/>
      <tableStyleElement type="firstRowStripe" dxfId="413"/>
      <tableStyleElement type="secondRowStripe" dxfId="412"/>
      <tableStyleElement type="firstColumnStripe" dxfId="411"/>
    </tableStyle>
    <tableStyle name="SpellSlots" pivot="0" count="8" xr9:uid="{0333AE96-A211-4F4A-B610-93184103AE35}">
      <tableStyleElement type="wholeTable" dxfId="410"/>
      <tableStyleElement type="headerRow" dxfId="409"/>
      <tableStyleElement type="totalRow" dxfId="408"/>
      <tableStyleElement type="firstColumn" dxfId="407"/>
      <tableStyleElement type="lastColumn" dxfId="406"/>
      <tableStyleElement type="firstRowStripe" dxfId="405"/>
      <tableStyleElement type="secondRowStripe" dxfId="404"/>
      <tableStyleElement type="firstColumnStripe" dxfId="403"/>
    </tableStyle>
    <tableStyle name="TableStyleMedium2 2" pivot="0" count="8" xr9:uid="{86B26E85-ECF3-451D-91CF-D4CF2A4EAA13}">
      <tableStyleElement type="wholeTable" dxfId="402"/>
      <tableStyleElement type="headerRow" dxfId="401"/>
      <tableStyleElement type="totalRow" dxfId="400"/>
      <tableStyleElement type="firstColumn" dxfId="399"/>
      <tableStyleElement type="lastColumn" dxfId="398"/>
      <tableStyleElement type="firstRowStripe" dxfId="397"/>
      <tableStyleElement type="secondRowStripe" dxfId="396"/>
      <tableStyleElement type="firstColumnStripe" dxfId="395"/>
    </tableStyle>
  </tableStyles>
  <colors>
    <mruColors>
      <color rgb="FFFFEFAB"/>
      <color rgb="FFBADA1C"/>
      <color rgb="FF5C005C"/>
      <color rgb="FF002060"/>
      <color rgb="FF5B9BD5"/>
      <color rgb="FF262626"/>
      <color rgb="FF195725"/>
      <color rgb="FF0DFF7A"/>
      <color rgb="FF766000"/>
      <color rgb="FF7E00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fmlaLink="F6" lockText="1"/>
</file>

<file path=xl/ctrlProps/ctrlProp2.xml><?xml version="1.0" encoding="utf-8"?>
<formControlPr xmlns="http://schemas.microsoft.com/office/spreadsheetml/2009/9/main" objectType="Drop" dropStyle="combo" dx="26" fmlaLink="E6" fmlaRange="'PC Template'!$K$8:$K$8"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11</xdr:col>
      <xdr:colOff>1</xdr:colOff>
      <xdr:row>6</xdr:row>
      <xdr:rowOff>0</xdr:rowOff>
    </xdr:from>
    <xdr:to>
      <xdr:col>12</xdr:col>
      <xdr:colOff>0</xdr:colOff>
      <xdr:row>8</xdr:row>
      <xdr:rowOff>0</xdr:rowOff>
    </xdr:to>
    <xdr:sp macro="[0]!showDiceForm" textlink="">
      <xdr:nvSpPr>
        <xdr:cNvPr id="3" name="Roll">
          <a:extLst>
            <a:ext uri="{FF2B5EF4-FFF2-40B4-BE49-F238E27FC236}">
              <a16:creationId xmlns:a16="http://schemas.microsoft.com/office/drawing/2014/main" id="{00000000-0008-0000-0000-000003000000}"/>
            </a:ext>
          </a:extLst>
        </xdr:cNvPr>
        <xdr:cNvSpPr/>
      </xdr:nvSpPr>
      <xdr:spPr>
        <a:xfrm>
          <a:off x="8724901" y="1143000"/>
          <a:ext cx="1152524"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R</a:t>
          </a:r>
          <a:r>
            <a:rPr lang="en-US" sz="900" u="none" baseline="0">
              <a:solidFill>
                <a:srgbClr val="F5F5F5"/>
              </a:solidFill>
            </a:rPr>
            <a:t>oll                                                                     </a:t>
          </a:r>
          <a:endParaRPr lang="en-US" sz="900" baseline="0">
            <a:solidFill>
              <a:srgbClr val="F5F5F5"/>
            </a:solidFill>
          </a:endParaRPr>
        </a:p>
      </xdr:txBody>
    </xdr:sp>
    <xdr:clientData/>
  </xdr:twoCellAnchor>
  <xdr:twoCellAnchor>
    <xdr:from>
      <xdr:col>12</xdr:col>
      <xdr:colOff>0</xdr:colOff>
      <xdr:row>6</xdr:row>
      <xdr:rowOff>0</xdr:rowOff>
    </xdr:from>
    <xdr:to>
      <xdr:col>13</xdr:col>
      <xdr:colOff>0</xdr:colOff>
      <xdr:row>8</xdr:row>
      <xdr:rowOff>0</xdr:rowOff>
    </xdr:to>
    <xdr:sp macro="[0]!showSkillForm" textlink="">
      <xdr:nvSpPr>
        <xdr:cNvPr id="14" name="Skill Calculator">
          <a:extLst>
            <a:ext uri="{FF2B5EF4-FFF2-40B4-BE49-F238E27FC236}">
              <a16:creationId xmlns:a16="http://schemas.microsoft.com/office/drawing/2014/main" id="{00000000-0008-0000-0000-00000E000000}"/>
            </a:ext>
          </a:extLst>
        </xdr:cNvPr>
        <xdr:cNvSpPr/>
      </xdr:nvSpPr>
      <xdr:spPr>
        <a:xfrm>
          <a:off x="9877425" y="1143000"/>
          <a:ext cx="115252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Skill Calculat</a:t>
          </a:r>
          <a:r>
            <a:rPr lang="en-US" sz="900" u="sng" baseline="0">
              <a:solidFill>
                <a:srgbClr val="F5F5F5"/>
              </a:solidFill>
            </a:rPr>
            <a:t>o</a:t>
          </a:r>
          <a:r>
            <a:rPr lang="en-US" sz="900" u="none" baseline="0">
              <a:solidFill>
                <a:srgbClr val="F5F5F5"/>
              </a:solidFill>
            </a:rPr>
            <a:t>r</a:t>
          </a:r>
        </a:p>
      </xdr:txBody>
    </xdr:sp>
    <xdr:clientData/>
  </xdr:twoCellAnchor>
  <xdr:twoCellAnchor>
    <xdr:from>
      <xdr:col>0</xdr:col>
      <xdr:colOff>0</xdr:colOff>
      <xdr:row>22</xdr:row>
      <xdr:rowOff>0</xdr:rowOff>
    </xdr:from>
    <xdr:to>
      <xdr:col>3</xdr:col>
      <xdr:colOff>0</xdr:colOff>
      <xdr:row>23</xdr:row>
      <xdr:rowOff>0</xdr:rowOff>
    </xdr:to>
    <xdr:sp macro="[0]!showHitDiceForm" textlink="">
      <xdr:nvSpPr>
        <xdr:cNvPr id="15" name="Hit Dice">
          <a:extLst>
            <a:ext uri="{FF2B5EF4-FFF2-40B4-BE49-F238E27FC236}">
              <a16:creationId xmlns:a16="http://schemas.microsoft.com/office/drawing/2014/main" id="{00000000-0008-0000-0000-00000F000000}"/>
            </a:ext>
          </a:extLst>
        </xdr:cNvPr>
        <xdr:cNvSpPr/>
      </xdr:nvSpPr>
      <xdr:spPr>
        <a:xfrm>
          <a:off x="0" y="4000500"/>
          <a:ext cx="1743075"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Roll </a:t>
          </a:r>
          <a:r>
            <a:rPr lang="en-US" sz="900" u="sng" baseline="0">
              <a:solidFill>
                <a:srgbClr val="F5F5F5"/>
              </a:solidFill>
            </a:rPr>
            <a:t>H</a:t>
          </a:r>
          <a:r>
            <a:rPr lang="en-US" sz="900" u="none" baseline="0">
              <a:solidFill>
                <a:srgbClr val="F5F5F5"/>
              </a:solidFill>
            </a:rPr>
            <a:t>it Dice</a:t>
          </a:r>
        </a:p>
      </xdr:txBody>
    </xdr:sp>
    <xdr:clientData/>
  </xdr:twoCellAnchor>
  <xdr:twoCellAnchor>
    <xdr:from>
      <xdr:col>16</xdr:col>
      <xdr:colOff>0</xdr:colOff>
      <xdr:row>19</xdr:row>
      <xdr:rowOff>0</xdr:rowOff>
    </xdr:from>
    <xdr:to>
      <xdr:col>19</xdr:col>
      <xdr:colOff>0</xdr:colOff>
      <xdr:row>30</xdr:row>
      <xdr:rowOff>0</xdr:rowOff>
    </xdr:to>
    <xdr:sp macro="" textlink="">
      <xdr:nvSpPr>
        <xdr:cNvPr id="8" name="Notes 3">
          <a:extLst>
            <a:ext uri="{FF2B5EF4-FFF2-40B4-BE49-F238E27FC236}">
              <a16:creationId xmlns:a16="http://schemas.microsoft.com/office/drawing/2014/main" id="{00000000-0008-0000-0000-000008000000}"/>
            </a:ext>
          </a:extLst>
        </xdr:cNvPr>
        <xdr:cNvSpPr txBox="1"/>
      </xdr:nvSpPr>
      <xdr:spPr>
        <a:xfrm>
          <a:off x="11372850" y="5524500"/>
          <a:ext cx="2819400" cy="20955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20</xdr:col>
      <xdr:colOff>0</xdr:colOff>
      <xdr:row>3</xdr:row>
      <xdr:rowOff>0</xdr:rowOff>
    </xdr:from>
    <xdr:to>
      <xdr:col>21</xdr:col>
      <xdr:colOff>0</xdr:colOff>
      <xdr:row>5</xdr:row>
      <xdr:rowOff>0</xdr:rowOff>
    </xdr:to>
    <xdr:sp macro="[0]!longRest" textlink="">
      <xdr:nvSpPr>
        <xdr:cNvPr id="9" name="Long Rest">
          <a:extLst>
            <a:ext uri="{FF2B5EF4-FFF2-40B4-BE49-F238E27FC236}">
              <a16:creationId xmlns:a16="http://schemas.microsoft.com/office/drawing/2014/main" id="{00000000-0008-0000-0000-000009000000}"/>
            </a:ext>
          </a:extLst>
        </xdr:cNvPr>
        <xdr:cNvSpPr/>
      </xdr:nvSpPr>
      <xdr:spPr>
        <a:xfrm>
          <a:off x="16449675" y="5715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Long Rest</a:t>
          </a:r>
        </a:p>
      </xdr:txBody>
    </xdr:sp>
    <xdr:clientData/>
  </xdr:twoCellAnchor>
  <xdr:twoCellAnchor>
    <xdr:from>
      <xdr:col>20</xdr:col>
      <xdr:colOff>0</xdr:colOff>
      <xdr:row>22</xdr:row>
      <xdr:rowOff>0</xdr:rowOff>
    </xdr:from>
    <xdr:to>
      <xdr:col>21</xdr:col>
      <xdr:colOff>0</xdr:colOff>
      <xdr:row>24</xdr:row>
      <xdr:rowOff>0</xdr:rowOff>
    </xdr:to>
    <xdr:sp macro="[0]!PC.showHideConfig" textlink="">
      <xdr:nvSpPr>
        <xdr:cNvPr id="12" name="Show Configuration">
          <a:extLst>
            <a:ext uri="{FF2B5EF4-FFF2-40B4-BE49-F238E27FC236}">
              <a16:creationId xmlns:a16="http://schemas.microsoft.com/office/drawing/2014/main" id="{00000000-0008-0000-0000-00000C000000}"/>
            </a:ext>
          </a:extLst>
        </xdr:cNvPr>
        <xdr:cNvSpPr/>
      </xdr:nvSpPr>
      <xdr:spPr>
        <a:xfrm>
          <a:off x="16449675" y="41910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Show Configuration</a:t>
          </a:r>
        </a:p>
      </xdr:txBody>
    </xdr:sp>
    <xdr:clientData/>
  </xdr:twoCellAnchor>
  <xdr:twoCellAnchor>
    <xdr:from>
      <xdr:col>20</xdr:col>
      <xdr:colOff>0</xdr:colOff>
      <xdr:row>15</xdr:row>
      <xdr:rowOff>0</xdr:rowOff>
    </xdr:from>
    <xdr:to>
      <xdr:col>21</xdr:col>
      <xdr:colOff>0</xdr:colOff>
      <xdr:row>17</xdr:row>
      <xdr:rowOff>0</xdr:rowOff>
    </xdr:to>
    <xdr:sp macro="[0]!changeTheme" textlink="">
      <xdr:nvSpPr>
        <xdr:cNvPr id="13" name="Change Theme">
          <a:extLst>
            <a:ext uri="{FF2B5EF4-FFF2-40B4-BE49-F238E27FC236}">
              <a16:creationId xmlns:a16="http://schemas.microsoft.com/office/drawing/2014/main" id="{00000000-0008-0000-0000-00000D000000}"/>
            </a:ext>
          </a:extLst>
        </xdr:cNvPr>
        <xdr:cNvSpPr/>
      </xdr:nvSpPr>
      <xdr:spPr>
        <a:xfrm>
          <a:off x="16449675" y="28575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Change </a:t>
          </a:r>
          <a:r>
            <a:rPr lang="en-US" sz="900" u="sng" baseline="0">
              <a:solidFill>
                <a:srgbClr val="F5F5F5"/>
              </a:solidFill>
            </a:rPr>
            <a:t>T</a:t>
          </a:r>
          <a:r>
            <a:rPr lang="en-US" sz="900" u="none" baseline="0">
              <a:solidFill>
                <a:srgbClr val="F5F5F5"/>
              </a:solidFill>
            </a:rPr>
            <a:t>heme</a:t>
          </a:r>
        </a:p>
      </xdr:txBody>
    </xdr:sp>
    <xdr:clientData/>
  </xdr:twoCellAnchor>
  <xdr:twoCellAnchor>
    <xdr:from>
      <xdr:col>13</xdr:col>
      <xdr:colOff>0</xdr:colOff>
      <xdr:row>8</xdr:row>
      <xdr:rowOff>0</xdr:rowOff>
    </xdr:from>
    <xdr:to>
      <xdr:col>14</xdr:col>
      <xdr:colOff>0</xdr:colOff>
      <xdr:row>10</xdr:row>
      <xdr:rowOff>0</xdr:rowOff>
    </xdr:to>
    <xdr:sp macro="[0]!PC.showHideNotes" textlink="">
      <xdr:nvSpPr>
        <xdr:cNvPr id="17" name="Notes Button">
          <a:extLst>
            <a:ext uri="{FF2B5EF4-FFF2-40B4-BE49-F238E27FC236}">
              <a16:creationId xmlns:a16="http://schemas.microsoft.com/office/drawing/2014/main" id="{00000000-0008-0000-0000-000011000000}"/>
            </a:ext>
          </a:extLst>
        </xdr:cNvPr>
        <xdr:cNvSpPr/>
      </xdr:nvSpPr>
      <xdr:spPr>
        <a:xfrm>
          <a:off x="11029950" y="1524000"/>
          <a:ext cx="8191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N</a:t>
          </a:r>
          <a:r>
            <a:rPr lang="en-US" sz="900" u="none" baseline="0">
              <a:solidFill>
                <a:srgbClr val="F5F5F5"/>
              </a:solidFill>
            </a:rPr>
            <a:t>otes</a:t>
          </a:r>
        </a:p>
      </xdr:txBody>
    </xdr:sp>
    <xdr:clientData/>
  </xdr:twoCellAnchor>
  <xdr:twoCellAnchor>
    <xdr:from>
      <xdr:col>4</xdr:col>
      <xdr:colOff>0</xdr:colOff>
      <xdr:row>22</xdr:row>
      <xdr:rowOff>0</xdr:rowOff>
    </xdr:from>
    <xdr:to>
      <xdr:col>7</xdr:col>
      <xdr:colOff>0</xdr:colOff>
      <xdr:row>33</xdr:row>
      <xdr:rowOff>0</xdr:rowOff>
    </xdr:to>
    <xdr:sp macro="" textlink="">
      <xdr:nvSpPr>
        <xdr:cNvPr id="16" name="Notes 4">
          <a:extLst>
            <a:ext uri="{FF2B5EF4-FFF2-40B4-BE49-F238E27FC236}">
              <a16:creationId xmlns:a16="http://schemas.microsoft.com/office/drawing/2014/main" id="{00000000-0008-0000-0000-000010000000}"/>
            </a:ext>
          </a:extLst>
        </xdr:cNvPr>
        <xdr:cNvSpPr txBox="1"/>
      </xdr:nvSpPr>
      <xdr:spPr>
        <a:xfrm>
          <a:off x="1895475" y="4572000"/>
          <a:ext cx="2419350" cy="20955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3</xdr:col>
      <xdr:colOff>0</xdr:colOff>
      <xdr:row>0</xdr:row>
      <xdr:rowOff>0</xdr:rowOff>
    </xdr:from>
    <xdr:to>
      <xdr:col>4</xdr:col>
      <xdr:colOff>0</xdr:colOff>
      <xdr:row>2</xdr:row>
      <xdr:rowOff>0</xdr:rowOff>
    </xdr:to>
    <xdr:sp macro="[0]!PC.expandPane1" textlink="">
      <xdr:nvSpPr>
        <xdr:cNvPr id="18" name="P1Expand">
          <a:extLst>
            <a:ext uri="{FF2B5EF4-FFF2-40B4-BE49-F238E27FC236}">
              <a16:creationId xmlns:a16="http://schemas.microsoft.com/office/drawing/2014/main" id="{00000000-0008-0000-0000-000012000000}"/>
            </a:ext>
          </a:extLst>
        </xdr:cNvPr>
        <xdr:cNvSpPr/>
      </xdr:nvSpPr>
      <xdr:spPr>
        <a:xfrm>
          <a:off x="1800225" y="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15</xdr:col>
      <xdr:colOff>0</xdr:colOff>
      <xdr:row>0</xdr:row>
      <xdr:rowOff>9525</xdr:rowOff>
    </xdr:from>
    <xdr:to>
      <xdr:col>16</xdr:col>
      <xdr:colOff>0</xdr:colOff>
      <xdr:row>2</xdr:row>
      <xdr:rowOff>9525</xdr:rowOff>
    </xdr:to>
    <xdr:sp macro="[0]!PC.expandPane3" textlink="">
      <xdr:nvSpPr>
        <xdr:cNvPr id="19" name="P3Expand">
          <a:extLst>
            <a:ext uri="{FF2B5EF4-FFF2-40B4-BE49-F238E27FC236}">
              <a16:creationId xmlns:a16="http://schemas.microsoft.com/office/drawing/2014/main" id="{00000000-0008-0000-0000-000013000000}"/>
            </a:ext>
          </a:extLst>
        </xdr:cNvPr>
        <xdr:cNvSpPr/>
      </xdr:nvSpPr>
      <xdr:spPr>
        <a:xfrm>
          <a:off x="11191875" y="9525"/>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7</xdr:col>
      <xdr:colOff>0</xdr:colOff>
      <xdr:row>0</xdr:row>
      <xdr:rowOff>9525</xdr:rowOff>
    </xdr:from>
    <xdr:to>
      <xdr:col>8</xdr:col>
      <xdr:colOff>0</xdr:colOff>
      <xdr:row>2</xdr:row>
      <xdr:rowOff>9525</xdr:rowOff>
    </xdr:to>
    <xdr:sp macro="[0]!PC.expandPane2" textlink="">
      <xdr:nvSpPr>
        <xdr:cNvPr id="20" name="P2Expand">
          <a:extLst>
            <a:ext uri="{FF2B5EF4-FFF2-40B4-BE49-F238E27FC236}">
              <a16:creationId xmlns:a16="http://schemas.microsoft.com/office/drawing/2014/main" id="{00000000-0008-0000-0000-000014000000}"/>
            </a:ext>
          </a:extLst>
        </xdr:cNvPr>
        <xdr:cNvSpPr/>
      </xdr:nvSpPr>
      <xdr:spPr>
        <a:xfrm>
          <a:off x="4343400" y="9525"/>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19</xdr:col>
      <xdr:colOff>0</xdr:colOff>
      <xdr:row>0</xdr:row>
      <xdr:rowOff>0</xdr:rowOff>
    </xdr:from>
    <xdr:to>
      <xdr:col>20</xdr:col>
      <xdr:colOff>0</xdr:colOff>
      <xdr:row>2</xdr:row>
      <xdr:rowOff>0</xdr:rowOff>
    </xdr:to>
    <xdr:sp macro="[0]!PC.expandPane4" textlink="">
      <xdr:nvSpPr>
        <xdr:cNvPr id="21" name="P4Expand">
          <a:extLst>
            <a:ext uri="{FF2B5EF4-FFF2-40B4-BE49-F238E27FC236}">
              <a16:creationId xmlns:a16="http://schemas.microsoft.com/office/drawing/2014/main" id="{00000000-0008-0000-0000-000015000000}"/>
            </a:ext>
          </a:extLst>
        </xdr:cNvPr>
        <xdr:cNvSpPr/>
      </xdr:nvSpPr>
      <xdr:spPr>
        <a:xfrm>
          <a:off x="14192250" y="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3</xdr:col>
      <xdr:colOff>0</xdr:colOff>
      <xdr:row>2</xdr:row>
      <xdr:rowOff>0</xdr:rowOff>
    </xdr:from>
    <xdr:to>
      <xdr:col>4</xdr:col>
      <xdr:colOff>0</xdr:colOff>
      <xdr:row>4</xdr:row>
      <xdr:rowOff>0</xdr:rowOff>
    </xdr:to>
    <xdr:sp macro="[0]!PC.contractPane1" textlink="">
      <xdr:nvSpPr>
        <xdr:cNvPr id="22" name="P1Contract">
          <a:extLst>
            <a:ext uri="{FF2B5EF4-FFF2-40B4-BE49-F238E27FC236}">
              <a16:creationId xmlns:a16="http://schemas.microsoft.com/office/drawing/2014/main" id="{00000000-0008-0000-0000-000016000000}"/>
            </a:ext>
          </a:extLst>
        </xdr:cNvPr>
        <xdr:cNvSpPr/>
      </xdr:nvSpPr>
      <xdr:spPr>
        <a:xfrm>
          <a:off x="1800225" y="38100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7</xdr:col>
      <xdr:colOff>0</xdr:colOff>
      <xdr:row>2</xdr:row>
      <xdr:rowOff>0</xdr:rowOff>
    </xdr:from>
    <xdr:to>
      <xdr:col>8</xdr:col>
      <xdr:colOff>0</xdr:colOff>
      <xdr:row>4</xdr:row>
      <xdr:rowOff>0</xdr:rowOff>
    </xdr:to>
    <xdr:sp macro="[0]!PC.contractPane2" textlink="">
      <xdr:nvSpPr>
        <xdr:cNvPr id="23" name="P2Contract">
          <a:extLst>
            <a:ext uri="{FF2B5EF4-FFF2-40B4-BE49-F238E27FC236}">
              <a16:creationId xmlns:a16="http://schemas.microsoft.com/office/drawing/2014/main" id="{00000000-0008-0000-0000-000017000000}"/>
            </a:ext>
          </a:extLst>
        </xdr:cNvPr>
        <xdr:cNvSpPr/>
      </xdr:nvSpPr>
      <xdr:spPr>
        <a:xfrm>
          <a:off x="4343400" y="38100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19</xdr:col>
      <xdr:colOff>0</xdr:colOff>
      <xdr:row>2</xdr:row>
      <xdr:rowOff>0</xdr:rowOff>
    </xdr:from>
    <xdr:to>
      <xdr:col>20</xdr:col>
      <xdr:colOff>0</xdr:colOff>
      <xdr:row>4</xdr:row>
      <xdr:rowOff>0</xdr:rowOff>
    </xdr:to>
    <xdr:sp macro="[0]!PC.contractPane4" textlink="">
      <xdr:nvSpPr>
        <xdr:cNvPr id="24" name="P4Contract">
          <a:extLst>
            <a:ext uri="{FF2B5EF4-FFF2-40B4-BE49-F238E27FC236}">
              <a16:creationId xmlns:a16="http://schemas.microsoft.com/office/drawing/2014/main" id="{00000000-0008-0000-0000-000018000000}"/>
            </a:ext>
          </a:extLst>
        </xdr:cNvPr>
        <xdr:cNvSpPr/>
      </xdr:nvSpPr>
      <xdr:spPr>
        <a:xfrm>
          <a:off x="14192250" y="38100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15</xdr:col>
      <xdr:colOff>0</xdr:colOff>
      <xdr:row>2</xdr:row>
      <xdr:rowOff>0</xdr:rowOff>
    </xdr:from>
    <xdr:to>
      <xdr:col>16</xdr:col>
      <xdr:colOff>0</xdr:colOff>
      <xdr:row>4</xdr:row>
      <xdr:rowOff>0</xdr:rowOff>
    </xdr:to>
    <xdr:sp macro="[0]!PC.contractPane3" textlink="">
      <xdr:nvSpPr>
        <xdr:cNvPr id="25" name="P3Contract">
          <a:extLst>
            <a:ext uri="{FF2B5EF4-FFF2-40B4-BE49-F238E27FC236}">
              <a16:creationId xmlns:a16="http://schemas.microsoft.com/office/drawing/2014/main" id="{00000000-0008-0000-0000-000019000000}"/>
            </a:ext>
          </a:extLst>
        </xdr:cNvPr>
        <xdr:cNvSpPr/>
      </xdr:nvSpPr>
      <xdr:spPr>
        <a:xfrm>
          <a:off x="11191875" y="38100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13</xdr:col>
      <xdr:colOff>0</xdr:colOff>
      <xdr:row>6</xdr:row>
      <xdr:rowOff>0</xdr:rowOff>
    </xdr:from>
    <xdr:to>
      <xdr:col>14</xdr:col>
      <xdr:colOff>0</xdr:colOff>
      <xdr:row>8</xdr:row>
      <xdr:rowOff>0</xdr:rowOff>
    </xdr:to>
    <xdr:sp macro="[0]!spellDetails" textlink="">
      <xdr:nvSpPr>
        <xdr:cNvPr id="26" name="Web Search">
          <a:extLst>
            <a:ext uri="{FF2B5EF4-FFF2-40B4-BE49-F238E27FC236}">
              <a16:creationId xmlns:a16="http://schemas.microsoft.com/office/drawing/2014/main" id="{00000000-0008-0000-0000-00001A000000}"/>
            </a:ext>
          </a:extLst>
        </xdr:cNvPr>
        <xdr:cNvSpPr/>
      </xdr:nvSpPr>
      <xdr:spPr>
        <a:xfrm>
          <a:off x="11029950" y="1143000"/>
          <a:ext cx="8191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Search (Ctrl+d)</a:t>
          </a:r>
        </a:p>
      </xdr:txBody>
    </xdr:sp>
    <xdr:clientData/>
  </xdr:twoCellAnchor>
  <xdr:twoCellAnchor>
    <xdr:from>
      <xdr:col>20</xdr:col>
      <xdr:colOff>0</xdr:colOff>
      <xdr:row>1</xdr:row>
      <xdr:rowOff>0</xdr:rowOff>
    </xdr:from>
    <xdr:to>
      <xdr:col>21</xdr:col>
      <xdr:colOff>0</xdr:colOff>
      <xdr:row>3</xdr:row>
      <xdr:rowOff>0</xdr:rowOff>
    </xdr:to>
    <xdr:sp macro="[0]!lastSpellDetails" textlink="">
      <xdr:nvSpPr>
        <xdr:cNvPr id="33" name="Last Spell PC">
          <a:extLst>
            <a:ext uri="{FF2B5EF4-FFF2-40B4-BE49-F238E27FC236}">
              <a16:creationId xmlns:a16="http://schemas.microsoft.com/office/drawing/2014/main" id="{00000000-0008-0000-0000-000021000000}"/>
            </a:ext>
          </a:extLst>
        </xdr:cNvPr>
        <xdr:cNvSpPr/>
      </xdr:nvSpPr>
      <xdr:spPr>
        <a:xfrm>
          <a:off x="16449675" y="1905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ast Spell</a:t>
          </a:r>
        </a:p>
      </xdr:txBody>
    </xdr:sp>
    <xdr:clientData/>
  </xdr:twoCellAnchor>
  <xdr:twoCellAnchor>
    <xdr:from>
      <xdr:col>42</xdr:col>
      <xdr:colOff>4760</xdr:colOff>
      <xdr:row>0</xdr:row>
      <xdr:rowOff>0</xdr:rowOff>
    </xdr:from>
    <xdr:to>
      <xdr:col>42</xdr:col>
      <xdr:colOff>152399</xdr:colOff>
      <xdr:row>2</xdr:row>
      <xdr:rowOff>0</xdr:rowOff>
    </xdr:to>
    <xdr:sp macro="[0]!PC.expandPane5" textlink="">
      <xdr:nvSpPr>
        <xdr:cNvPr id="34" name="P5Expand">
          <a:extLst>
            <a:ext uri="{FF2B5EF4-FFF2-40B4-BE49-F238E27FC236}">
              <a16:creationId xmlns:a16="http://schemas.microsoft.com/office/drawing/2014/main" id="{00000000-0008-0000-0000-000022000000}"/>
            </a:ext>
          </a:extLst>
        </xdr:cNvPr>
        <xdr:cNvSpPr/>
      </xdr:nvSpPr>
      <xdr:spPr>
        <a:xfrm>
          <a:off x="39647810" y="0"/>
          <a:ext cx="147639"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&gt;</a:t>
          </a:r>
        </a:p>
      </xdr:txBody>
    </xdr:sp>
    <xdr:clientData/>
  </xdr:twoCellAnchor>
  <xdr:twoCellAnchor>
    <xdr:from>
      <xdr:col>42</xdr:col>
      <xdr:colOff>0</xdr:colOff>
      <xdr:row>2</xdr:row>
      <xdr:rowOff>0</xdr:rowOff>
    </xdr:from>
    <xdr:to>
      <xdr:col>43</xdr:col>
      <xdr:colOff>0</xdr:colOff>
      <xdr:row>4</xdr:row>
      <xdr:rowOff>0</xdr:rowOff>
    </xdr:to>
    <xdr:sp macro="[0]!PC.contractPane5" textlink="">
      <xdr:nvSpPr>
        <xdr:cNvPr id="37" name="P5Contract">
          <a:extLst>
            <a:ext uri="{FF2B5EF4-FFF2-40B4-BE49-F238E27FC236}">
              <a16:creationId xmlns:a16="http://schemas.microsoft.com/office/drawing/2014/main" id="{00000000-0008-0000-0000-000025000000}"/>
            </a:ext>
          </a:extLst>
        </xdr:cNvPr>
        <xdr:cNvSpPr/>
      </xdr:nvSpPr>
      <xdr:spPr>
        <a:xfrm>
          <a:off x="37623750" y="381000"/>
          <a:ext cx="1809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&lt;</a:t>
          </a:r>
        </a:p>
      </xdr:txBody>
    </xdr:sp>
    <xdr:clientData/>
  </xdr:twoCellAnchor>
  <xdr:twoCellAnchor>
    <xdr:from>
      <xdr:col>14</xdr:col>
      <xdr:colOff>1</xdr:colOff>
      <xdr:row>8</xdr:row>
      <xdr:rowOff>0</xdr:rowOff>
    </xdr:from>
    <xdr:to>
      <xdr:col>15</xdr:col>
      <xdr:colOff>1</xdr:colOff>
      <xdr:row>10</xdr:row>
      <xdr:rowOff>0</xdr:rowOff>
    </xdr:to>
    <xdr:sp macro="[0]!showRollHistoryForm" textlink="">
      <xdr:nvSpPr>
        <xdr:cNvPr id="38" name="History">
          <a:extLst>
            <a:ext uri="{FF2B5EF4-FFF2-40B4-BE49-F238E27FC236}">
              <a16:creationId xmlns:a16="http://schemas.microsoft.com/office/drawing/2014/main" id="{00000000-0008-0000-0000-000026000000}"/>
            </a:ext>
          </a:extLst>
        </xdr:cNvPr>
        <xdr:cNvSpPr/>
      </xdr:nvSpPr>
      <xdr:spPr>
        <a:xfrm>
          <a:off x="11849101" y="1524000"/>
          <a:ext cx="8191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Histor</a:t>
          </a:r>
          <a:r>
            <a:rPr lang="en-US" sz="900" u="sng" baseline="0">
              <a:solidFill>
                <a:srgbClr val="F5F5F5"/>
              </a:solidFill>
            </a:rPr>
            <a:t>y</a:t>
          </a:r>
        </a:p>
      </xdr:txBody>
    </xdr:sp>
    <xdr:clientData/>
  </xdr:twoCellAnchor>
  <xdr:twoCellAnchor>
    <xdr:from>
      <xdr:col>13</xdr:col>
      <xdr:colOff>381000</xdr:colOff>
      <xdr:row>0</xdr:row>
      <xdr:rowOff>0</xdr:rowOff>
    </xdr:from>
    <xdr:to>
      <xdr:col>15</xdr:col>
      <xdr:colOff>0</xdr:colOff>
      <xdr:row>1</xdr:row>
      <xdr:rowOff>0</xdr:rowOff>
    </xdr:to>
    <xdr:sp macro="[0]!addFeatForm" textlink="">
      <xdr:nvSpPr>
        <xdr:cNvPr id="27" name="Add Feat">
          <a:extLst>
            <a:ext uri="{FF2B5EF4-FFF2-40B4-BE49-F238E27FC236}">
              <a16:creationId xmlns:a16="http://schemas.microsoft.com/office/drawing/2014/main" id="{00000000-0008-0000-0000-00001B000000}"/>
            </a:ext>
          </a:extLst>
        </xdr:cNvPr>
        <xdr:cNvSpPr/>
      </xdr:nvSpPr>
      <xdr:spPr>
        <a:xfrm>
          <a:off x="10144125" y="381000"/>
          <a:ext cx="1047750"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Add Feat</a:t>
          </a:r>
        </a:p>
      </xdr:txBody>
    </xdr:sp>
    <xdr:clientData/>
  </xdr:twoCellAnchor>
  <xdr:twoCellAnchor>
    <xdr:from>
      <xdr:col>0</xdr:col>
      <xdr:colOff>1</xdr:colOff>
      <xdr:row>16</xdr:row>
      <xdr:rowOff>0</xdr:rowOff>
    </xdr:from>
    <xdr:to>
      <xdr:col>3</xdr:col>
      <xdr:colOff>0</xdr:colOff>
      <xdr:row>17</xdr:row>
      <xdr:rowOff>0</xdr:rowOff>
    </xdr:to>
    <xdr:sp macro="[0]!showDamageForm" textlink="">
      <xdr:nvSpPr>
        <xdr:cNvPr id="28" name="Add Damage">
          <a:extLst>
            <a:ext uri="{FF2B5EF4-FFF2-40B4-BE49-F238E27FC236}">
              <a16:creationId xmlns:a16="http://schemas.microsoft.com/office/drawing/2014/main" id="{00000000-0008-0000-0000-00001C000000}"/>
            </a:ext>
          </a:extLst>
        </xdr:cNvPr>
        <xdr:cNvSpPr/>
      </xdr:nvSpPr>
      <xdr:spPr>
        <a:xfrm>
          <a:off x="1" y="3048000"/>
          <a:ext cx="1743074"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Take Da</a:t>
          </a:r>
          <a:r>
            <a:rPr lang="en-US" sz="900" u="sng" baseline="0">
              <a:solidFill>
                <a:srgbClr val="F5F5F5"/>
              </a:solidFill>
            </a:rPr>
            <a:t>m</a:t>
          </a:r>
          <a:r>
            <a:rPr lang="en-US" sz="900" u="none" baseline="0">
              <a:solidFill>
                <a:srgbClr val="F5F5F5"/>
              </a:solidFill>
            </a:rPr>
            <a:t>age</a:t>
          </a:r>
          <a:endParaRPr lang="en-US" sz="900" baseline="0">
            <a:solidFill>
              <a:srgbClr val="F5F5F5"/>
            </a:solidFill>
          </a:endParaRPr>
        </a:p>
      </xdr:txBody>
    </xdr:sp>
    <xdr:clientData/>
  </xdr:twoCellAnchor>
  <xdr:twoCellAnchor>
    <xdr:from>
      <xdr:col>12</xdr:col>
      <xdr:colOff>438150</xdr:colOff>
      <xdr:row>0</xdr:row>
      <xdr:rowOff>0</xdr:rowOff>
    </xdr:from>
    <xdr:to>
      <xdr:col>13</xdr:col>
      <xdr:colOff>438150</xdr:colOff>
      <xdr:row>1</xdr:row>
      <xdr:rowOff>0</xdr:rowOff>
    </xdr:to>
    <xdr:sp macro="[0]!tableEditMacro" textlink="">
      <xdr:nvSpPr>
        <xdr:cNvPr id="29" name="Read Feat">
          <a:extLst>
            <a:ext uri="{FF2B5EF4-FFF2-40B4-BE49-F238E27FC236}">
              <a16:creationId xmlns:a16="http://schemas.microsoft.com/office/drawing/2014/main" id="{00000000-0008-0000-0000-00001D000000}"/>
            </a:ext>
          </a:extLst>
        </xdr:cNvPr>
        <xdr:cNvSpPr/>
      </xdr:nvSpPr>
      <xdr:spPr>
        <a:xfrm>
          <a:off x="9153525" y="381000"/>
          <a:ext cx="1047750"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R</a:t>
          </a:r>
          <a:r>
            <a:rPr lang="en-US" sz="900" u="sng" baseline="0">
              <a:solidFill>
                <a:srgbClr val="F5F5F5"/>
              </a:solidFill>
            </a:rPr>
            <a:t>e</a:t>
          </a:r>
          <a:r>
            <a:rPr lang="en-US" sz="900" baseline="0">
              <a:solidFill>
                <a:srgbClr val="F5F5F5"/>
              </a:solidFill>
            </a:rPr>
            <a:t>ad Feat</a:t>
          </a:r>
        </a:p>
      </xdr:txBody>
    </xdr:sp>
    <xdr:clientData/>
  </xdr:twoCellAnchor>
  <xdr:twoCellAnchor>
    <xdr:from>
      <xdr:col>20</xdr:col>
      <xdr:colOff>0</xdr:colOff>
      <xdr:row>10</xdr:row>
      <xdr:rowOff>0</xdr:rowOff>
    </xdr:from>
    <xdr:to>
      <xdr:col>21</xdr:col>
      <xdr:colOff>0</xdr:colOff>
      <xdr:row>12</xdr:row>
      <xdr:rowOff>0</xdr:rowOff>
    </xdr:to>
    <xdr:sp macro="[0]!importCharacterMacro" textlink="">
      <xdr:nvSpPr>
        <xdr:cNvPr id="30" name="Import Sheet">
          <a:extLst>
            <a:ext uri="{FF2B5EF4-FFF2-40B4-BE49-F238E27FC236}">
              <a16:creationId xmlns:a16="http://schemas.microsoft.com/office/drawing/2014/main" id="{00000000-0008-0000-0000-00001E000000}"/>
            </a:ext>
          </a:extLst>
        </xdr:cNvPr>
        <xdr:cNvSpPr/>
      </xdr:nvSpPr>
      <xdr:spPr>
        <a:xfrm>
          <a:off x="16449675" y="19050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Character</a:t>
          </a:r>
        </a:p>
      </xdr:txBody>
    </xdr:sp>
    <xdr:clientData/>
  </xdr:twoCellAnchor>
  <xdr:twoCellAnchor>
    <xdr:from>
      <xdr:col>20</xdr:col>
      <xdr:colOff>0</xdr:colOff>
      <xdr:row>12</xdr:row>
      <xdr:rowOff>0</xdr:rowOff>
    </xdr:from>
    <xdr:to>
      <xdr:col>21</xdr:col>
      <xdr:colOff>0</xdr:colOff>
      <xdr:row>14</xdr:row>
      <xdr:rowOff>0</xdr:rowOff>
    </xdr:to>
    <xdr:sp macro="[0]!importMonstersMacro" textlink="">
      <xdr:nvSpPr>
        <xdr:cNvPr id="31" name="Import Monsters">
          <a:extLst>
            <a:ext uri="{FF2B5EF4-FFF2-40B4-BE49-F238E27FC236}">
              <a16:creationId xmlns:a16="http://schemas.microsoft.com/office/drawing/2014/main" id="{00000000-0008-0000-0000-00001F000000}"/>
            </a:ext>
          </a:extLst>
        </xdr:cNvPr>
        <xdr:cNvSpPr/>
      </xdr:nvSpPr>
      <xdr:spPr>
        <a:xfrm>
          <a:off x="16449675" y="22860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Monsters</a:t>
          </a:r>
        </a:p>
      </xdr:txBody>
    </xdr:sp>
    <xdr:clientData/>
  </xdr:twoCellAnchor>
  <xdr:twoCellAnchor>
    <xdr:from>
      <xdr:col>0</xdr:col>
      <xdr:colOff>0</xdr:colOff>
      <xdr:row>0</xdr:row>
      <xdr:rowOff>1</xdr:rowOff>
    </xdr:from>
    <xdr:to>
      <xdr:col>3</xdr:col>
      <xdr:colOff>0</xdr:colOff>
      <xdr:row>8</xdr:row>
      <xdr:rowOff>1</xdr:rowOff>
    </xdr:to>
    <xdr:pic>
      <xdr:nvPicPr>
        <xdr:cNvPr id="5" name="Character Portrai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743075" cy="1524000"/>
        </a:xfrm>
        <a:prstGeom prst="rect">
          <a:avLst/>
        </a:prstGeom>
      </xdr:spPr>
    </xdr:pic>
    <xdr:clientData/>
  </xdr:twoCellAnchor>
  <xdr:twoCellAnchor>
    <xdr:from>
      <xdr:col>13</xdr:col>
      <xdr:colOff>381000</xdr:colOff>
      <xdr:row>12</xdr:row>
      <xdr:rowOff>0</xdr:rowOff>
    </xdr:from>
    <xdr:to>
      <xdr:col>15</xdr:col>
      <xdr:colOff>0</xdr:colOff>
      <xdr:row>13</xdr:row>
      <xdr:rowOff>0</xdr:rowOff>
    </xdr:to>
    <xdr:sp macro="[0]!addEquipForm" textlink="">
      <xdr:nvSpPr>
        <xdr:cNvPr id="32" name="Add Equip">
          <a:extLst>
            <a:ext uri="{FF2B5EF4-FFF2-40B4-BE49-F238E27FC236}">
              <a16:creationId xmlns:a16="http://schemas.microsoft.com/office/drawing/2014/main" id="{00000000-0008-0000-0000-000020000000}"/>
            </a:ext>
          </a:extLst>
        </xdr:cNvPr>
        <xdr:cNvSpPr/>
      </xdr:nvSpPr>
      <xdr:spPr>
        <a:xfrm>
          <a:off x="11410950" y="2286000"/>
          <a:ext cx="1257300"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Add Equip</a:t>
          </a:r>
        </a:p>
      </xdr:txBody>
    </xdr:sp>
    <xdr:clientData/>
  </xdr:twoCellAnchor>
  <xdr:twoCellAnchor>
    <xdr:from>
      <xdr:col>12</xdr:col>
      <xdr:colOff>438150</xdr:colOff>
      <xdr:row>12</xdr:row>
      <xdr:rowOff>0</xdr:rowOff>
    </xdr:from>
    <xdr:to>
      <xdr:col>13</xdr:col>
      <xdr:colOff>438150</xdr:colOff>
      <xdr:row>13</xdr:row>
      <xdr:rowOff>0</xdr:rowOff>
    </xdr:to>
    <xdr:sp macro="[0]!tableEditMacro" textlink="">
      <xdr:nvSpPr>
        <xdr:cNvPr id="35" name="Read Equip">
          <a:extLst>
            <a:ext uri="{FF2B5EF4-FFF2-40B4-BE49-F238E27FC236}">
              <a16:creationId xmlns:a16="http://schemas.microsoft.com/office/drawing/2014/main" id="{00000000-0008-0000-0000-000023000000}"/>
            </a:ext>
          </a:extLst>
        </xdr:cNvPr>
        <xdr:cNvSpPr/>
      </xdr:nvSpPr>
      <xdr:spPr>
        <a:xfrm>
          <a:off x="10315575" y="2286000"/>
          <a:ext cx="1152525"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R</a:t>
          </a:r>
          <a:r>
            <a:rPr lang="en-US" sz="900" u="sng" baseline="0">
              <a:solidFill>
                <a:srgbClr val="F5F5F5"/>
              </a:solidFill>
            </a:rPr>
            <a:t>e</a:t>
          </a:r>
          <a:r>
            <a:rPr lang="en-US" sz="900" baseline="0">
              <a:solidFill>
                <a:srgbClr val="F5F5F5"/>
              </a:solidFill>
            </a:rPr>
            <a:t>ad Equip</a:t>
          </a:r>
        </a:p>
      </xdr:txBody>
    </xdr:sp>
    <xdr:clientData/>
  </xdr:twoCellAnchor>
  <xdr:twoCellAnchor>
    <xdr:from>
      <xdr:col>20</xdr:col>
      <xdr:colOff>0</xdr:colOff>
      <xdr:row>6</xdr:row>
      <xdr:rowOff>0</xdr:rowOff>
    </xdr:from>
    <xdr:to>
      <xdr:col>21</xdr:col>
      <xdr:colOff>0</xdr:colOff>
      <xdr:row>8</xdr:row>
      <xdr:rowOff>0</xdr:rowOff>
    </xdr:to>
    <xdr:sp macro="[0]!whatsThis" textlink="">
      <xdr:nvSpPr>
        <xdr:cNvPr id="36" name="Whats this">
          <a:extLst>
            <a:ext uri="{FF2B5EF4-FFF2-40B4-BE49-F238E27FC236}">
              <a16:creationId xmlns:a16="http://schemas.microsoft.com/office/drawing/2014/main" id="{00000000-0008-0000-0000-000024000000}"/>
            </a:ext>
          </a:extLst>
        </xdr:cNvPr>
        <xdr:cNvSpPr/>
      </xdr:nvSpPr>
      <xdr:spPr>
        <a:xfrm>
          <a:off x="16449675" y="11430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W</a:t>
          </a:r>
          <a:r>
            <a:rPr lang="en-US" sz="900" u="none" baseline="0">
              <a:solidFill>
                <a:srgbClr val="F5F5F5"/>
              </a:solidFill>
            </a:rPr>
            <a:t>hat's This?</a:t>
          </a:r>
        </a:p>
      </xdr:txBody>
    </xdr:sp>
    <xdr:clientData/>
  </xdr:twoCellAnchor>
  <xdr:twoCellAnchor>
    <xdr:from>
      <xdr:col>11</xdr:col>
      <xdr:colOff>1143000</xdr:colOff>
      <xdr:row>8</xdr:row>
      <xdr:rowOff>0</xdr:rowOff>
    </xdr:from>
    <xdr:to>
      <xdr:col>13</xdr:col>
      <xdr:colOff>0</xdr:colOff>
      <xdr:row>10</xdr:row>
      <xdr:rowOff>0</xdr:rowOff>
    </xdr:to>
    <xdr:sp macro="[0]!PC.savingThrow" textlink="">
      <xdr:nvSpPr>
        <xdr:cNvPr id="39" name="Saving Throw">
          <a:extLst>
            <a:ext uri="{FF2B5EF4-FFF2-40B4-BE49-F238E27FC236}">
              <a16:creationId xmlns:a16="http://schemas.microsoft.com/office/drawing/2014/main" id="{00000000-0008-0000-0000-000027000000}"/>
            </a:ext>
          </a:extLst>
        </xdr:cNvPr>
        <xdr:cNvSpPr/>
      </xdr:nvSpPr>
      <xdr:spPr>
        <a:xfrm>
          <a:off x="9867900" y="1524000"/>
          <a:ext cx="11620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t>
          </a:r>
          <a:r>
            <a:rPr lang="en-US" sz="900" u="sng" baseline="0">
              <a:solidFill>
                <a:srgbClr val="F5F5F5"/>
              </a:solidFill>
            </a:rPr>
            <a:t>a</a:t>
          </a:r>
          <a:r>
            <a:rPr lang="en-US" sz="900" u="none" baseline="0">
              <a:solidFill>
                <a:srgbClr val="F5F5F5"/>
              </a:solidFill>
            </a:rPr>
            <a:t>ving Throw</a:t>
          </a:r>
        </a:p>
      </xdr:txBody>
    </xdr:sp>
    <xdr:clientData/>
  </xdr:twoCellAnchor>
  <xdr:twoCellAnchor>
    <xdr:from>
      <xdr:col>4</xdr:col>
      <xdr:colOff>0</xdr:colOff>
      <xdr:row>12</xdr:row>
      <xdr:rowOff>0</xdr:rowOff>
    </xdr:from>
    <xdr:to>
      <xdr:col>7</xdr:col>
      <xdr:colOff>0</xdr:colOff>
      <xdr:row>13</xdr:row>
      <xdr:rowOff>0</xdr:rowOff>
    </xdr:to>
    <xdr:sp macro="[0]!PC.nextTurn" textlink="">
      <xdr:nvSpPr>
        <xdr:cNvPr id="40" name="Next Turn">
          <a:extLst>
            <a:ext uri="{FF2B5EF4-FFF2-40B4-BE49-F238E27FC236}">
              <a16:creationId xmlns:a16="http://schemas.microsoft.com/office/drawing/2014/main" id="{00000000-0008-0000-0000-000028000000}"/>
            </a:ext>
          </a:extLst>
        </xdr:cNvPr>
        <xdr:cNvSpPr/>
      </xdr:nvSpPr>
      <xdr:spPr>
        <a:xfrm>
          <a:off x="1895475" y="2667000"/>
          <a:ext cx="2419350"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N</a:t>
          </a:r>
          <a:r>
            <a:rPr lang="en-US" sz="900" u="none" baseline="0">
              <a:solidFill>
                <a:srgbClr val="F5F5F5"/>
              </a:solidFill>
            </a:rPr>
            <a:t>ext Turn</a:t>
          </a:r>
        </a:p>
      </xdr:txBody>
    </xdr:sp>
    <xdr:clientData/>
  </xdr:twoCellAnchor>
  <xdr:twoCellAnchor>
    <xdr:from>
      <xdr:col>20</xdr:col>
      <xdr:colOff>1</xdr:colOff>
      <xdr:row>17</xdr:row>
      <xdr:rowOff>0</xdr:rowOff>
    </xdr:from>
    <xdr:to>
      <xdr:col>21</xdr:col>
      <xdr:colOff>0</xdr:colOff>
      <xdr:row>19</xdr:row>
      <xdr:rowOff>0</xdr:rowOff>
    </xdr:to>
    <xdr:sp macro="[0]!PC.SaveWidthConfiguration" textlink="">
      <xdr:nvSpPr>
        <xdr:cNvPr id="41" name="Save Width Config">
          <a:extLst>
            <a:ext uri="{FF2B5EF4-FFF2-40B4-BE49-F238E27FC236}">
              <a16:creationId xmlns:a16="http://schemas.microsoft.com/office/drawing/2014/main" id="{00000000-0008-0000-0000-000029000000}"/>
            </a:ext>
          </a:extLst>
        </xdr:cNvPr>
        <xdr:cNvSpPr/>
      </xdr:nvSpPr>
      <xdr:spPr>
        <a:xfrm>
          <a:off x="16449676" y="3238500"/>
          <a:ext cx="1552574"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Save Width Config</a:t>
          </a:r>
        </a:p>
      </xdr:txBody>
    </xdr:sp>
    <xdr:clientData/>
  </xdr:twoCellAnchor>
  <xdr:twoCellAnchor>
    <xdr:from>
      <xdr:col>20</xdr:col>
      <xdr:colOff>0</xdr:colOff>
      <xdr:row>19</xdr:row>
      <xdr:rowOff>0</xdr:rowOff>
    </xdr:from>
    <xdr:to>
      <xdr:col>21</xdr:col>
      <xdr:colOff>0</xdr:colOff>
      <xdr:row>21</xdr:row>
      <xdr:rowOff>0</xdr:rowOff>
    </xdr:to>
    <xdr:sp macro="[0]!PC.applyWidthConfiguration" textlink="">
      <xdr:nvSpPr>
        <xdr:cNvPr id="42" name="Apply Width Config">
          <a:extLst>
            <a:ext uri="{FF2B5EF4-FFF2-40B4-BE49-F238E27FC236}">
              <a16:creationId xmlns:a16="http://schemas.microsoft.com/office/drawing/2014/main" id="{00000000-0008-0000-0000-00002A000000}"/>
            </a:ext>
          </a:extLst>
        </xdr:cNvPr>
        <xdr:cNvSpPr/>
      </xdr:nvSpPr>
      <xdr:spPr>
        <a:xfrm>
          <a:off x="16449675" y="36195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Apply Width Config</a:t>
          </a:r>
        </a:p>
      </xdr:txBody>
    </xdr:sp>
    <xdr:clientData/>
  </xdr:twoCellAnchor>
  <xdr:twoCellAnchor>
    <xdr:from>
      <xdr:col>20</xdr:col>
      <xdr:colOff>0</xdr:colOff>
      <xdr:row>8</xdr:row>
      <xdr:rowOff>0</xdr:rowOff>
    </xdr:from>
    <xdr:to>
      <xdr:col>21</xdr:col>
      <xdr:colOff>0</xdr:colOff>
      <xdr:row>10</xdr:row>
      <xdr:rowOff>0</xdr:rowOff>
    </xdr:to>
    <xdr:sp macro="[0]!showFormulaBuilderForm" textlink="">
      <xdr:nvSpPr>
        <xdr:cNvPr id="43" name="Formula Builder">
          <a:extLst>
            <a:ext uri="{FF2B5EF4-FFF2-40B4-BE49-F238E27FC236}">
              <a16:creationId xmlns:a16="http://schemas.microsoft.com/office/drawing/2014/main" id="{00000000-0008-0000-0000-00002B000000}"/>
            </a:ext>
          </a:extLst>
        </xdr:cNvPr>
        <xdr:cNvSpPr/>
      </xdr:nvSpPr>
      <xdr:spPr>
        <a:xfrm>
          <a:off x="16449675" y="1524000"/>
          <a:ext cx="15525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Formula Builder (Ctrl+G)</a:t>
          </a:r>
        </a:p>
      </xdr:txBody>
    </xdr:sp>
    <xdr:clientData/>
  </xdr:twoCellAnchor>
  <xdr:twoCellAnchor>
    <xdr:from>
      <xdr:col>11</xdr:col>
      <xdr:colOff>0</xdr:colOff>
      <xdr:row>8</xdr:row>
      <xdr:rowOff>0</xdr:rowOff>
    </xdr:from>
    <xdr:to>
      <xdr:col>12</xdr:col>
      <xdr:colOff>0</xdr:colOff>
      <xdr:row>9</xdr:row>
      <xdr:rowOff>190499</xdr:rowOff>
    </xdr:to>
    <xdr:sp macro="[0]!showInitiative" textlink="">
      <xdr:nvSpPr>
        <xdr:cNvPr id="44" name="Initiative">
          <a:extLst>
            <a:ext uri="{FF2B5EF4-FFF2-40B4-BE49-F238E27FC236}">
              <a16:creationId xmlns:a16="http://schemas.microsoft.com/office/drawing/2014/main" id="{00000000-0008-0000-0000-00002C000000}"/>
            </a:ext>
          </a:extLst>
        </xdr:cNvPr>
        <xdr:cNvSpPr/>
      </xdr:nvSpPr>
      <xdr:spPr>
        <a:xfrm>
          <a:off x="8724900" y="1524000"/>
          <a:ext cx="1152525" cy="380999"/>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I</a:t>
          </a:r>
          <a:r>
            <a:rPr lang="en-US" sz="900" u="none" baseline="0">
              <a:solidFill>
                <a:srgbClr val="F5F5F5"/>
              </a:solidFill>
            </a:rPr>
            <a:t>nitiative</a:t>
          </a:r>
        </a:p>
      </xdr:txBody>
    </xdr:sp>
    <xdr:clientData/>
  </xdr:twoCellAnchor>
  <xdr:twoCellAnchor>
    <xdr:from>
      <xdr:col>14</xdr:col>
      <xdr:colOff>1</xdr:colOff>
      <xdr:row>6</xdr:row>
      <xdr:rowOff>0</xdr:rowOff>
    </xdr:from>
    <xdr:to>
      <xdr:col>15</xdr:col>
      <xdr:colOff>1</xdr:colOff>
      <xdr:row>8</xdr:row>
      <xdr:rowOff>0</xdr:rowOff>
    </xdr:to>
    <xdr:sp macro="[0]!tableEditMacro" textlink="">
      <xdr:nvSpPr>
        <xdr:cNvPr id="45" name="Extended Value">
          <a:extLst>
            <a:ext uri="{FF2B5EF4-FFF2-40B4-BE49-F238E27FC236}">
              <a16:creationId xmlns:a16="http://schemas.microsoft.com/office/drawing/2014/main" id="{00000000-0008-0000-0000-00002D000000}"/>
            </a:ext>
          </a:extLst>
        </xdr:cNvPr>
        <xdr:cNvSpPr/>
      </xdr:nvSpPr>
      <xdr:spPr>
        <a:xfrm>
          <a:off x="11849101" y="1143000"/>
          <a:ext cx="8191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E</a:t>
          </a:r>
          <a:r>
            <a:rPr lang="en-US" sz="900" baseline="0">
              <a:solidFill>
                <a:srgbClr val="F5F5F5"/>
              </a:solidFill>
            </a:rPr>
            <a:t>xtended Value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39</xdr:row>
      <xdr:rowOff>0</xdr:rowOff>
    </xdr:to>
    <xdr:sp macro="" textlink="">
      <xdr:nvSpPr>
        <xdr:cNvPr id="2" name="Backstory">
          <a:extLst>
            <a:ext uri="{FF2B5EF4-FFF2-40B4-BE49-F238E27FC236}">
              <a16:creationId xmlns:a16="http://schemas.microsoft.com/office/drawing/2014/main" id="{00000000-0008-0000-0100-000002000000}"/>
            </a:ext>
          </a:extLst>
        </xdr:cNvPr>
        <xdr:cNvSpPr txBox="1"/>
      </xdr:nvSpPr>
      <xdr:spPr>
        <a:xfrm>
          <a:off x="247650" y="190500"/>
          <a:ext cx="1828800" cy="67056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1</xdr:row>
      <xdr:rowOff>0</xdr:rowOff>
    </xdr:from>
    <xdr:to>
      <xdr:col>6</xdr:col>
      <xdr:colOff>0</xdr:colOff>
      <xdr:row>7</xdr:row>
      <xdr:rowOff>0</xdr:rowOff>
    </xdr:to>
    <xdr:sp macro="" textlink="">
      <xdr:nvSpPr>
        <xdr:cNvPr id="3" name="Appearance">
          <a:extLst>
            <a:ext uri="{FF2B5EF4-FFF2-40B4-BE49-F238E27FC236}">
              <a16:creationId xmlns:a16="http://schemas.microsoft.com/office/drawing/2014/main" id="{00000000-0008-0000-0100-000003000000}"/>
            </a:ext>
          </a:extLst>
        </xdr:cNvPr>
        <xdr:cNvSpPr txBox="1"/>
      </xdr:nvSpPr>
      <xdr:spPr>
        <a:xfrm>
          <a:off x="7943850" y="190500"/>
          <a:ext cx="3657600" cy="11430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9</xdr:row>
      <xdr:rowOff>0</xdr:rowOff>
    </xdr:from>
    <xdr:to>
      <xdr:col>9</xdr:col>
      <xdr:colOff>0</xdr:colOff>
      <xdr:row>15</xdr:row>
      <xdr:rowOff>0</xdr:rowOff>
    </xdr:to>
    <xdr:sp macro="" textlink="">
      <xdr:nvSpPr>
        <xdr:cNvPr id="4" name="Personality Traits">
          <a:extLst>
            <a:ext uri="{FF2B5EF4-FFF2-40B4-BE49-F238E27FC236}">
              <a16:creationId xmlns:a16="http://schemas.microsoft.com/office/drawing/2014/main" id="{00000000-0008-0000-0100-000004000000}"/>
            </a:ext>
          </a:extLst>
        </xdr:cNvPr>
        <xdr:cNvSpPr txBox="1"/>
      </xdr:nvSpPr>
      <xdr:spPr>
        <a:xfrm>
          <a:off x="7943850" y="1714500"/>
          <a:ext cx="5486400" cy="11430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17</xdr:row>
      <xdr:rowOff>0</xdr:rowOff>
    </xdr:from>
    <xdr:to>
      <xdr:col>9</xdr:col>
      <xdr:colOff>0</xdr:colOff>
      <xdr:row>23</xdr:row>
      <xdr:rowOff>0</xdr:rowOff>
    </xdr:to>
    <xdr:sp macro="" textlink="">
      <xdr:nvSpPr>
        <xdr:cNvPr id="5" name="Ideals">
          <a:extLst>
            <a:ext uri="{FF2B5EF4-FFF2-40B4-BE49-F238E27FC236}">
              <a16:creationId xmlns:a16="http://schemas.microsoft.com/office/drawing/2014/main" id="{00000000-0008-0000-0100-000005000000}"/>
            </a:ext>
          </a:extLst>
        </xdr:cNvPr>
        <xdr:cNvSpPr txBox="1"/>
      </xdr:nvSpPr>
      <xdr:spPr>
        <a:xfrm>
          <a:off x="7943850" y="3238500"/>
          <a:ext cx="5486400" cy="11430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25</xdr:row>
      <xdr:rowOff>0</xdr:rowOff>
    </xdr:from>
    <xdr:to>
      <xdr:col>9</xdr:col>
      <xdr:colOff>0</xdr:colOff>
      <xdr:row>31</xdr:row>
      <xdr:rowOff>0</xdr:rowOff>
    </xdr:to>
    <xdr:sp macro="" textlink="">
      <xdr:nvSpPr>
        <xdr:cNvPr id="6" name="Bonds">
          <a:extLst>
            <a:ext uri="{FF2B5EF4-FFF2-40B4-BE49-F238E27FC236}">
              <a16:creationId xmlns:a16="http://schemas.microsoft.com/office/drawing/2014/main" id="{00000000-0008-0000-0100-000006000000}"/>
            </a:ext>
          </a:extLst>
        </xdr:cNvPr>
        <xdr:cNvSpPr txBox="1"/>
      </xdr:nvSpPr>
      <xdr:spPr>
        <a:xfrm>
          <a:off x="7943850" y="4762500"/>
          <a:ext cx="5486400" cy="11430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5</xdr:col>
      <xdr:colOff>0</xdr:colOff>
      <xdr:row>33</xdr:row>
      <xdr:rowOff>0</xdr:rowOff>
    </xdr:from>
    <xdr:to>
      <xdr:col>9</xdr:col>
      <xdr:colOff>0</xdr:colOff>
      <xdr:row>39</xdr:row>
      <xdr:rowOff>0</xdr:rowOff>
    </xdr:to>
    <xdr:sp macro="" textlink="">
      <xdr:nvSpPr>
        <xdr:cNvPr id="7" name="Flaws">
          <a:extLst>
            <a:ext uri="{FF2B5EF4-FFF2-40B4-BE49-F238E27FC236}">
              <a16:creationId xmlns:a16="http://schemas.microsoft.com/office/drawing/2014/main" id="{00000000-0008-0000-0100-000007000000}"/>
            </a:ext>
          </a:extLst>
        </xdr:cNvPr>
        <xdr:cNvSpPr txBox="1"/>
      </xdr:nvSpPr>
      <xdr:spPr>
        <a:xfrm>
          <a:off x="7943850" y="6286500"/>
          <a:ext cx="5486400" cy="114300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1</xdr:col>
      <xdr:colOff>6481762</xdr:colOff>
      <xdr:row>0</xdr:row>
      <xdr:rowOff>0</xdr:rowOff>
    </xdr:from>
    <xdr:to>
      <xdr:col>3</xdr:col>
      <xdr:colOff>647699</xdr:colOff>
      <xdr:row>1</xdr:row>
      <xdr:rowOff>0</xdr:rowOff>
    </xdr:to>
    <xdr:sp macro="[0]!Background.condenseExpand" textlink="">
      <xdr:nvSpPr>
        <xdr:cNvPr id="8" name="Background Condense">
          <a:extLst>
            <a:ext uri="{FF2B5EF4-FFF2-40B4-BE49-F238E27FC236}">
              <a16:creationId xmlns:a16="http://schemas.microsoft.com/office/drawing/2014/main" id="{00000000-0008-0000-0100-000008000000}"/>
            </a:ext>
          </a:extLst>
        </xdr:cNvPr>
        <xdr:cNvSpPr/>
      </xdr:nvSpPr>
      <xdr:spPr>
        <a:xfrm flipH="1">
          <a:off x="6748462" y="0"/>
          <a:ext cx="1295400" cy="18097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Condense/Expand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476250</xdr:colOff>
      <xdr:row>0</xdr:row>
      <xdr:rowOff>0</xdr:rowOff>
    </xdr:from>
    <xdr:to>
      <xdr:col>18</xdr:col>
      <xdr:colOff>539750</xdr:colOff>
      <xdr:row>0</xdr:row>
      <xdr:rowOff>190500</xdr:rowOff>
    </xdr:to>
    <xdr:sp macro="[0]!spellDetails" textlink="">
      <xdr:nvSpPr>
        <xdr:cNvPr id="12" name="Horizontal Crosshair">
          <a:extLst>
            <a:ext uri="{FF2B5EF4-FFF2-40B4-BE49-F238E27FC236}">
              <a16:creationId xmlns:a16="http://schemas.microsoft.com/office/drawing/2014/main" id="{00000000-0008-0000-0200-00000C000000}"/>
            </a:ext>
          </a:extLst>
        </xdr:cNvPr>
        <xdr:cNvSpPr/>
      </xdr:nvSpPr>
      <xdr:spPr>
        <a:xfrm>
          <a:off x="19050000" y="0"/>
          <a:ext cx="63500" cy="190500"/>
        </a:xfrm>
        <a:prstGeom prst="rect">
          <a:avLst/>
        </a:prstGeom>
        <a:solidFill>
          <a:srgbClr val="00B0F0">
            <a:alpha val="3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0</xdr:colOff>
          <xdr:row>6</xdr:row>
          <xdr:rowOff>28575</xdr:rowOff>
        </xdr:to>
        <xdr:sp macro="" textlink="">
          <xdr:nvSpPr>
            <xdr:cNvPr id="1035" name="cbRowHighlight"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Row Highlight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1036" name="SpellAbilityDD"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xdr:colOff>
      <xdr:row>11</xdr:row>
      <xdr:rowOff>0</xdr:rowOff>
    </xdr:from>
    <xdr:to>
      <xdr:col>1</xdr:col>
      <xdr:colOff>0</xdr:colOff>
      <xdr:row>13</xdr:row>
      <xdr:rowOff>0</xdr:rowOff>
    </xdr:to>
    <xdr:sp macro="[0]!toggleSpellBank" textlink="">
      <xdr:nvSpPr>
        <xdr:cNvPr id="15" name="Show Spell Bank">
          <a:extLst>
            <a:ext uri="{FF2B5EF4-FFF2-40B4-BE49-F238E27FC236}">
              <a16:creationId xmlns:a16="http://schemas.microsoft.com/office/drawing/2014/main" id="{00000000-0008-0000-0200-00000F000000}"/>
            </a:ext>
          </a:extLst>
        </xdr:cNvPr>
        <xdr:cNvSpPr/>
      </xdr:nvSpPr>
      <xdr:spPr>
        <a:xfrm>
          <a:off x="7620" y="2124075"/>
          <a:ext cx="97345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Show Spell Bank</a:t>
          </a:r>
        </a:p>
      </xdr:txBody>
    </xdr:sp>
    <xdr:clientData/>
  </xdr:twoCellAnchor>
  <xdr:twoCellAnchor>
    <xdr:from>
      <xdr:col>1</xdr:col>
      <xdr:colOff>0</xdr:colOff>
      <xdr:row>11</xdr:row>
      <xdr:rowOff>0</xdr:rowOff>
    </xdr:from>
    <xdr:to>
      <xdr:col>2</xdr:col>
      <xdr:colOff>0</xdr:colOff>
      <xdr:row>13</xdr:row>
      <xdr:rowOff>0</xdr:rowOff>
    </xdr:to>
    <xdr:sp macro="[0]!addNewSpell" textlink="">
      <xdr:nvSpPr>
        <xdr:cNvPr id="16" name="Add New">
          <a:extLst>
            <a:ext uri="{FF2B5EF4-FFF2-40B4-BE49-F238E27FC236}">
              <a16:creationId xmlns:a16="http://schemas.microsoft.com/office/drawing/2014/main" id="{00000000-0008-0000-0200-000010000000}"/>
            </a:ext>
          </a:extLst>
        </xdr:cNvPr>
        <xdr:cNvSpPr/>
      </xdr:nvSpPr>
      <xdr:spPr>
        <a:xfrm>
          <a:off x="981075" y="2124075"/>
          <a:ext cx="9810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Add New</a:t>
          </a:r>
        </a:p>
      </xdr:txBody>
    </xdr:sp>
    <xdr:clientData/>
  </xdr:twoCellAnchor>
  <xdr:twoCellAnchor>
    <xdr:from>
      <xdr:col>3</xdr:col>
      <xdr:colOff>0</xdr:colOff>
      <xdr:row>11</xdr:row>
      <xdr:rowOff>0</xdr:rowOff>
    </xdr:from>
    <xdr:to>
      <xdr:col>4</xdr:col>
      <xdr:colOff>0</xdr:colOff>
      <xdr:row>13</xdr:row>
      <xdr:rowOff>0</xdr:rowOff>
    </xdr:to>
    <xdr:sp macro="[0]!filterToClass" textlink="">
      <xdr:nvSpPr>
        <xdr:cNvPr id="18" name="Filter to Class">
          <a:extLst>
            <a:ext uri="{FF2B5EF4-FFF2-40B4-BE49-F238E27FC236}">
              <a16:creationId xmlns:a16="http://schemas.microsoft.com/office/drawing/2014/main" id="{00000000-0008-0000-0200-000012000000}"/>
            </a:ext>
          </a:extLst>
        </xdr:cNvPr>
        <xdr:cNvSpPr/>
      </xdr:nvSpPr>
      <xdr:spPr>
        <a:xfrm>
          <a:off x="2943225" y="2124075"/>
          <a:ext cx="9810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Filter to Class</a:t>
          </a:r>
        </a:p>
      </xdr:txBody>
    </xdr:sp>
    <xdr:clientData/>
  </xdr:twoCellAnchor>
  <xdr:twoCellAnchor>
    <xdr:from>
      <xdr:col>4</xdr:col>
      <xdr:colOff>0</xdr:colOff>
      <xdr:row>11</xdr:row>
      <xdr:rowOff>0</xdr:rowOff>
    </xdr:from>
    <xdr:to>
      <xdr:col>5</xdr:col>
      <xdr:colOff>0</xdr:colOff>
      <xdr:row>13</xdr:row>
      <xdr:rowOff>0</xdr:rowOff>
    </xdr:to>
    <xdr:sp macro="[0]!unfilterToClass" textlink="">
      <xdr:nvSpPr>
        <xdr:cNvPr id="19" name="Unfilter to Class">
          <a:extLst>
            <a:ext uri="{FF2B5EF4-FFF2-40B4-BE49-F238E27FC236}">
              <a16:creationId xmlns:a16="http://schemas.microsoft.com/office/drawing/2014/main" id="{00000000-0008-0000-0200-000013000000}"/>
            </a:ext>
          </a:extLst>
        </xdr:cNvPr>
        <xdr:cNvSpPr/>
      </xdr:nvSpPr>
      <xdr:spPr>
        <a:xfrm>
          <a:off x="3924300" y="2124075"/>
          <a:ext cx="9810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Unfilter to Class</a:t>
          </a:r>
        </a:p>
      </xdr:txBody>
    </xdr:sp>
    <xdr:clientData/>
  </xdr:twoCellAnchor>
  <xdr:twoCellAnchor>
    <xdr:from>
      <xdr:col>5</xdr:col>
      <xdr:colOff>0</xdr:colOff>
      <xdr:row>11</xdr:row>
      <xdr:rowOff>0</xdr:rowOff>
    </xdr:from>
    <xdr:to>
      <xdr:col>6</xdr:col>
      <xdr:colOff>0</xdr:colOff>
      <xdr:row>13</xdr:row>
      <xdr:rowOff>0</xdr:rowOff>
    </xdr:to>
    <xdr:sp macro="[0]!mergeFromOther" textlink="">
      <xdr:nvSpPr>
        <xdr:cNvPr id="20" name="Merge from Other">
          <a:extLst>
            <a:ext uri="{FF2B5EF4-FFF2-40B4-BE49-F238E27FC236}">
              <a16:creationId xmlns:a16="http://schemas.microsoft.com/office/drawing/2014/main" id="{00000000-0008-0000-0200-000014000000}"/>
            </a:ext>
          </a:extLst>
        </xdr:cNvPr>
        <xdr:cNvSpPr/>
      </xdr:nvSpPr>
      <xdr:spPr>
        <a:xfrm>
          <a:off x="4905375" y="2124075"/>
          <a:ext cx="9810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Merge from Other</a:t>
          </a:r>
        </a:p>
      </xdr:txBody>
    </xdr:sp>
    <xdr:clientData/>
  </xdr:twoCellAnchor>
  <xdr:twoCellAnchor>
    <xdr:from>
      <xdr:col>8</xdr:col>
      <xdr:colOff>0</xdr:colOff>
      <xdr:row>2</xdr:row>
      <xdr:rowOff>0</xdr:rowOff>
    </xdr:from>
    <xdr:to>
      <xdr:col>9</xdr:col>
      <xdr:colOff>0</xdr:colOff>
      <xdr:row>4</xdr:row>
      <xdr:rowOff>0</xdr:rowOff>
    </xdr:to>
    <xdr:sp macro="[0]!listMode" textlink="">
      <xdr:nvSpPr>
        <xdr:cNvPr id="21" name="List Mode">
          <a:extLst>
            <a:ext uri="{FF2B5EF4-FFF2-40B4-BE49-F238E27FC236}">
              <a16:creationId xmlns:a16="http://schemas.microsoft.com/office/drawing/2014/main" id="{00000000-0008-0000-0200-000015000000}"/>
            </a:ext>
          </a:extLst>
        </xdr:cNvPr>
        <xdr:cNvSpPr/>
      </xdr:nvSpPr>
      <xdr:spPr>
        <a:xfrm>
          <a:off x="8915400" y="390525"/>
          <a:ext cx="1114425" cy="39052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ist Mode</a:t>
          </a:r>
          <a:endParaRPr lang="en-US" sz="900" u="sng" baseline="0">
            <a:solidFill>
              <a:srgbClr val="F5F5F5"/>
            </a:solidFill>
          </a:endParaRPr>
        </a:p>
      </xdr:txBody>
    </xdr:sp>
    <xdr:clientData/>
  </xdr:twoCellAnchor>
  <xdr:twoCellAnchor>
    <xdr:from>
      <xdr:col>8</xdr:col>
      <xdr:colOff>0</xdr:colOff>
      <xdr:row>4</xdr:row>
      <xdr:rowOff>0</xdr:rowOff>
    </xdr:from>
    <xdr:to>
      <xdr:col>9</xdr:col>
      <xdr:colOff>1143</xdr:colOff>
      <xdr:row>6</xdr:row>
      <xdr:rowOff>0</xdr:rowOff>
    </xdr:to>
    <xdr:sp macro="[0]!combatMode" textlink="">
      <xdr:nvSpPr>
        <xdr:cNvPr id="22" name="Combat Mode">
          <a:extLst>
            <a:ext uri="{FF2B5EF4-FFF2-40B4-BE49-F238E27FC236}">
              <a16:creationId xmlns:a16="http://schemas.microsoft.com/office/drawing/2014/main" id="{00000000-0008-0000-0200-000016000000}"/>
            </a:ext>
          </a:extLst>
        </xdr:cNvPr>
        <xdr:cNvSpPr/>
      </xdr:nvSpPr>
      <xdr:spPr>
        <a:xfrm>
          <a:off x="8915400" y="781050"/>
          <a:ext cx="1115568" cy="39052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Combat Mod</a:t>
          </a:r>
          <a:r>
            <a:rPr lang="en-US" sz="900" b="1" u="sng" baseline="0">
              <a:solidFill>
                <a:srgbClr val="F5F5F5"/>
              </a:solidFill>
            </a:rPr>
            <a:t>e</a:t>
          </a:r>
        </a:p>
      </xdr:txBody>
    </xdr:sp>
    <xdr:clientData/>
  </xdr:twoCellAnchor>
  <xdr:twoCellAnchor>
    <xdr:from>
      <xdr:col>10</xdr:col>
      <xdr:colOff>581024</xdr:colOff>
      <xdr:row>0</xdr:row>
      <xdr:rowOff>0</xdr:rowOff>
    </xdr:from>
    <xdr:to>
      <xdr:col>11</xdr:col>
      <xdr:colOff>1647824</xdr:colOff>
      <xdr:row>1</xdr:row>
      <xdr:rowOff>0</xdr:rowOff>
    </xdr:to>
    <xdr:sp macro="[0]!concentrate" textlink="">
      <xdr:nvSpPr>
        <xdr:cNvPr id="23" name="Concentrate Button">
          <a:extLst>
            <a:ext uri="{FF2B5EF4-FFF2-40B4-BE49-F238E27FC236}">
              <a16:creationId xmlns:a16="http://schemas.microsoft.com/office/drawing/2014/main" id="{00000000-0008-0000-0200-000017000000}"/>
            </a:ext>
          </a:extLst>
        </xdr:cNvPr>
        <xdr:cNvSpPr/>
      </xdr:nvSpPr>
      <xdr:spPr>
        <a:xfrm>
          <a:off x="11191874" y="0"/>
          <a:ext cx="1647825" cy="20002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Drop/Concentrate</a:t>
          </a:r>
        </a:p>
      </xdr:txBody>
    </xdr:sp>
    <xdr:clientData/>
  </xdr:twoCellAnchor>
  <xdr:twoCellAnchor>
    <xdr:from>
      <xdr:col>10</xdr:col>
      <xdr:colOff>581024</xdr:colOff>
      <xdr:row>2</xdr:row>
      <xdr:rowOff>0</xdr:rowOff>
    </xdr:from>
    <xdr:to>
      <xdr:col>11</xdr:col>
      <xdr:colOff>1647824</xdr:colOff>
      <xdr:row>3</xdr:row>
      <xdr:rowOff>0</xdr:rowOff>
    </xdr:to>
    <xdr:sp macro="[0]!unrestrictLevel" textlink="">
      <xdr:nvSpPr>
        <xdr:cNvPr id="25" name="Restrict Level">
          <a:extLst>
            <a:ext uri="{FF2B5EF4-FFF2-40B4-BE49-F238E27FC236}">
              <a16:creationId xmlns:a16="http://schemas.microsoft.com/office/drawing/2014/main" id="{00000000-0008-0000-0200-000019000000}"/>
            </a:ext>
          </a:extLst>
        </xdr:cNvPr>
        <xdr:cNvSpPr/>
      </xdr:nvSpPr>
      <xdr:spPr>
        <a:xfrm>
          <a:off x="11191874" y="390525"/>
          <a:ext cx="1647825" cy="20002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Unrestrict Level</a:t>
          </a:r>
        </a:p>
      </xdr:txBody>
    </xdr:sp>
    <xdr:clientData/>
  </xdr:twoCellAnchor>
  <xdr:twoCellAnchor>
    <xdr:from>
      <xdr:col>9</xdr:col>
      <xdr:colOff>0</xdr:colOff>
      <xdr:row>0</xdr:row>
      <xdr:rowOff>0</xdr:rowOff>
    </xdr:from>
    <xdr:to>
      <xdr:col>11</xdr:col>
      <xdr:colOff>0</xdr:colOff>
      <xdr:row>2</xdr:row>
      <xdr:rowOff>0</xdr:rowOff>
    </xdr:to>
    <xdr:sp macro="[0]!castSpellMacro" textlink="">
      <xdr:nvSpPr>
        <xdr:cNvPr id="27" name="Cast Button">
          <a:extLst>
            <a:ext uri="{FF2B5EF4-FFF2-40B4-BE49-F238E27FC236}">
              <a16:creationId xmlns:a16="http://schemas.microsoft.com/office/drawing/2014/main" id="{00000000-0008-0000-0200-00001B000000}"/>
            </a:ext>
          </a:extLst>
        </xdr:cNvPr>
        <xdr:cNvSpPr/>
      </xdr:nvSpPr>
      <xdr:spPr>
        <a:xfrm>
          <a:off x="10287000" y="0"/>
          <a:ext cx="1188720" cy="37338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C</a:t>
          </a:r>
          <a:r>
            <a:rPr lang="en-US" sz="900" u="none" baseline="0">
              <a:solidFill>
                <a:srgbClr val="F5F5F5"/>
              </a:solidFill>
            </a:rPr>
            <a:t>ast</a:t>
          </a:r>
          <a:endParaRPr lang="en-US" sz="900" u="sng" baseline="0">
            <a:solidFill>
              <a:srgbClr val="F5F5F5"/>
            </a:solidFill>
          </a:endParaRPr>
        </a:p>
      </xdr:txBody>
    </xdr:sp>
    <xdr:clientData/>
  </xdr:twoCellAnchor>
  <xdr:twoCellAnchor>
    <xdr:from>
      <xdr:col>9</xdr:col>
      <xdr:colOff>0</xdr:colOff>
      <xdr:row>2</xdr:row>
      <xdr:rowOff>0</xdr:rowOff>
    </xdr:from>
    <xdr:to>
      <xdr:col>11</xdr:col>
      <xdr:colOff>0</xdr:colOff>
      <xdr:row>4</xdr:row>
      <xdr:rowOff>0</xdr:rowOff>
    </xdr:to>
    <xdr:sp macro="[0]!spellDetails" textlink="">
      <xdr:nvSpPr>
        <xdr:cNvPr id="28" name="Details">
          <a:extLst>
            <a:ext uri="{FF2B5EF4-FFF2-40B4-BE49-F238E27FC236}">
              <a16:creationId xmlns:a16="http://schemas.microsoft.com/office/drawing/2014/main" id="{00000000-0008-0000-0200-00001C000000}"/>
            </a:ext>
          </a:extLst>
        </xdr:cNvPr>
        <xdr:cNvSpPr/>
      </xdr:nvSpPr>
      <xdr:spPr>
        <a:xfrm>
          <a:off x="10287000" y="373380"/>
          <a:ext cx="1188720" cy="37338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D</a:t>
          </a:r>
          <a:r>
            <a:rPr lang="en-US" sz="900" u="none" baseline="0">
              <a:solidFill>
                <a:srgbClr val="F5F5F5"/>
              </a:solidFill>
            </a:rPr>
            <a:t>etails</a:t>
          </a:r>
          <a:endParaRPr lang="en-US" sz="900" u="sng" baseline="0">
            <a:solidFill>
              <a:srgbClr val="F5F5F5"/>
            </a:solidFill>
          </a:endParaRPr>
        </a:p>
      </xdr:txBody>
    </xdr:sp>
    <xdr:clientData/>
  </xdr:twoCellAnchor>
  <xdr:twoCellAnchor>
    <xdr:from>
      <xdr:col>10</xdr:col>
      <xdr:colOff>581024</xdr:colOff>
      <xdr:row>4</xdr:row>
      <xdr:rowOff>2</xdr:rowOff>
    </xdr:from>
    <xdr:to>
      <xdr:col>11</xdr:col>
      <xdr:colOff>1647824</xdr:colOff>
      <xdr:row>5</xdr:row>
      <xdr:rowOff>1</xdr:rowOff>
    </xdr:to>
    <xdr:sp macro="[0]!restoreSpellSlots" textlink="">
      <xdr:nvSpPr>
        <xdr:cNvPr id="29" name="Restore Slots">
          <a:extLst>
            <a:ext uri="{FF2B5EF4-FFF2-40B4-BE49-F238E27FC236}">
              <a16:creationId xmlns:a16="http://schemas.microsoft.com/office/drawing/2014/main" id="{00000000-0008-0000-0200-00001D000000}"/>
            </a:ext>
          </a:extLst>
        </xdr:cNvPr>
        <xdr:cNvSpPr/>
      </xdr:nvSpPr>
      <xdr:spPr>
        <a:xfrm>
          <a:off x="11191874" y="781052"/>
          <a:ext cx="1647825" cy="200024"/>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Restore Slots</a:t>
          </a:r>
          <a:endParaRPr lang="en-US" sz="900" u="sng" baseline="0">
            <a:solidFill>
              <a:srgbClr val="F5F5F5"/>
            </a:solidFill>
          </a:endParaRPr>
        </a:p>
      </xdr:txBody>
    </xdr:sp>
    <xdr:clientData/>
  </xdr:twoCellAnchor>
  <xdr:twoCellAnchor>
    <xdr:from>
      <xdr:col>2</xdr:col>
      <xdr:colOff>0</xdr:colOff>
      <xdr:row>11</xdr:row>
      <xdr:rowOff>0</xdr:rowOff>
    </xdr:from>
    <xdr:to>
      <xdr:col>3</xdr:col>
      <xdr:colOff>0</xdr:colOff>
      <xdr:row>13</xdr:row>
      <xdr:rowOff>0</xdr:rowOff>
    </xdr:to>
    <xdr:sp macro="[0]!searchSpellBank" textlink="">
      <xdr:nvSpPr>
        <xdr:cNvPr id="24" name="Search">
          <a:extLst>
            <a:ext uri="{FF2B5EF4-FFF2-40B4-BE49-F238E27FC236}">
              <a16:creationId xmlns:a16="http://schemas.microsoft.com/office/drawing/2014/main" id="{00000000-0008-0000-0200-000018000000}"/>
            </a:ext>
          </a:extLst>
        </xdr:cNvPr>
        <xdr:cNvSpPr/>
      </xdr:nvSpPr>
      <xdr:spPr>
        <a:xfrm>
          <a:off x="1962150" y="2124075"/>
          <a:ext cx="981075"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Search</a:t>
          </a:r>
        </a:p>
      </xdr:txBody>
    </xdr:sp>
    <xdr:clientData/>
  </xdr:twoCellAnchor>
  <xdr:twoCellAnchor>
    <xdr:from>
      <xdr:col>8</xdr:col>
      <xdr:colOff>0</xdr:colOff>
      <xdr:row>0</xdr:row>
      <xdr:rowOff>0</xdr:rowOff>
    </xdr:from>
    <xdr:to>
      <xdr:col>9</xdr:col>
      <xdr:colOff>0</xdr:colOff>
      <xdr:row>2</xdr:row>
      <xdr:rowOff>0</xdr:rowOff>
    </xdr:to>
    <xdr:sp macro="[0]!searchSpellInfo" textlink="">
      <xdr:nvSpPr>
        <xdr:cNvPr id="26" name="Find Spell">
          <a:extLst>
            <a:ext uri="{FF2B5EF4-FFF2-40B4-BE49-F238E27FC236}">
              <a16:creationId xmlns:a16="http://schemas.microsoft.com/office/drawing/2014/main" id="{00000000-0008-0000-0200-00001A000000}"/>
            </a:ext>
          </a:extLst>
        </xdr:cNvPr>
        <xdr:cNvSpPr/>
      </xdr:nvSpPr>
      <xdr:spPr>
        <a:xfrm>
          <a:off x="8915400" y="0"/>
          <a:ext cx="1114425" cy="39052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F</a:t>
          </a:r>
          <a:r>
            <a:rPr lang="en-US" sz="900" u="none" baseline="0">
              <a:solidFill>
                <a:srgbClr val="F5F5F5"/>
              </a:solidFill>
            </a:rPr>
            <a:t>ind Spell</a:t>
          </a:r>
          <a:endParaRPr lang="en-US" sz="900" u="sng" baseline="0">
            <a:solidFill>
              <a:srgbClr val="F5F5F5"/>
            </a:solidFill>
          </a:endParaRPr>
        </a:p>
      </xdr:txBody>
    </xdr:sp>
    <xdr:clientData/>
  </xdr:twoCellAnchor>
  <xdr:twoCellAnchor>
    <xdr:from>
      <xdr:col>10</xdr:col>
      <xdr:colOff>581024</xdr:colOff>
      <xdr:row>5</xdr:row>
      <xdr:rowOff>0</xdr:rowOff>
    </xdr:from>
    <xdr:to>
      <xdr:col>11</xdr:col>
      <xdr:colOff>1647824</xdr:colOff>
      <xdr:row>6</xdr:row>
      <xdr:rowOff>0</xdr:rowOff>
    </xdr:to>
    <xdr:sp macro="[0]!DeleteFromSpellInfo" textlink="">
      <xdr:nvSpPr>
        <xdr:cNvPr id="30" name="Delete Spell">
          <a:extLst>
            <a:ext uri="{FF2B5EF4-FFF2-40B4-BE49-F238E27FC236}">
              <a16:creationId xmlns:a16="http://schemas.microsoft.com/office/drawing/2014/main" id="{00000000-0008-0000-0200-00001E000000}"/>
            </a:ext>
          </a:extLst>
        </xdr:cNvPr>
        <xdr:cNvSpPr/>
      </xdr:nvSpPr>
      <xdr:spPr>
        <a:xfrm>
          <a:off x="11191874" y="981075"/>
          <a:ext cx="1647825"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Delete Spell</a:t>
          </a:r>
          <a:endParaRPr lang="en-US" sz="900" u="sng" baseline="0">
            <a:solidFill>
              <a:srgbClr val="F5F5F5"/>
            </a:solidFill>
          </a:endParaRPr>
        </a:p>
      </xdr:txBody>
    </xdr:sp>
    <xdr:clientData/>
  </xdr:twoCellAnchor>
  <xdr:twoCellAnchor>
    <xdr:from>
      <xdr:col>9</xdr:col>
      <xdr:colOff>0</xdr:colOff>
      <xdr:row>4</xdr:row>
      <xdr:rowOff>0</xdr:rowOff>
    </xdr:from>
    <xdr:to>
      <xdr:col>11</xdr:col>
      <xdr:colOff>0</xdr:colOff>
      <xdr:row>6</xdr:row>
      <xdr:rowOff>0</xdr:rowOff>
    </xdr:to>
    <xdr:sp macro="[0]!lastSpellDetails" textlink="">
      <xdr:nvSpPr>
        <xdr:cNvPr id="31" name="Last Spell">
          <a:extLst>
            <a:ext uri="{FF2B5EF4-FFF2-40B4-BE49-F238E27FC236}">
              <a16:creationId xmlns:a16="http://schemas.microsoft.com/office/drawing/2014/main" id="{00000000-0008-0000-0200-00001F000000}"/>
            </a:ext>
          </a:extLst>
        </xdr:cNvPr>
        <xdr:cNvSpPr/>
      </xdr:nvSpPr>
      <xdr:spPr>
        <a:xfrm>
          <a:off x="10287000" y="746760"/>
          <a:ext cx="1188720" cy="37338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L</a:t>
          </a:r>
          <a:r>
            <a:rPr lang="en-US" sz="900" u="none" baseline="0">
              <a:solidFill>
                <a:srgbClr val="F5F5F5"/>
              </a:solidFill>
            </a:rPr>
            <a:t>ast Spell</a:t>
          </a:r>
        </a:p>
      </xdr:txBody>
    </xdr:sp>
    <xdr:clientData/>
  </xdr:twoCellAnchor>
  <xdr:twoCellAnchor>
    <xdr:from>
      <xdr:col>11</xdr:col>
      <xdr:colOff>0</xdr:colOff>
      <xdr:row>3</xdr:row>
      <xdr:rowOff>1</xdr:rowOff>
    </xdr:from>
    <xdr:to>
      <xdr:col>11</xdr:col>
      <xdr:colOff>1647824</xdr:colOff>
      <xdr:row>4</xdr:row>
      <xdr:rowOff>0</xdr:rowOff>
    </xdr:to>
    <xdr:sp macro="[0]!scrollToTop" textlink="">
      <xdr:nvSpPr>
        <xdr:cNvPr id="33" name="ScrollTop">
          <a:extLst>
            <a:ext uri="{FF2B5EF4-FFF2-40B4-BE49-F238E27FC236}">
              <a16:creationId xmlns:a16="http://schemas.microsoft.com/office/drawing/2014/main" id="{00000000-0008-0000-0200-000021000000}"/>
            </a:ext>
          </a:extLst>
        </xdr:cNvPr>
        <xdr:cNvSpPr/>
      </xdr:nvSpPr>
      <xdr:spPr>
        <a:xfrm>
          <a:off x="12006263" y="552451"/>
          <a:ext cx="1647824" cy="180974"/>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Scroll to To</a:t>
          </a:r>
          <a:r>
            <a:rPr lang="en-US" sz="900" u="sng" baseline="0">
              <a:solidFill>
                <a:srgbClr val="F5F5F5"/>
              </a:solidFill>
            </a:rPr>
            <a:t>p</a:t>
          </a:r>
        </a:p>
      </xdr:txBody>
    </xdr:sp>
    <xdr:clientData/>
  </xdr:twoCellAnchor>
  <xdr:twoCellAnchor>
    <xdr:from>
      <xdr:col>11</xdr:col>
      <xdr:colOff>0</xdr:colOff>
      <xdr:row>1</xdr:row>
      <xdr:rowOff>0</xdr:rowOff>
    </xdr:from>
    <xdr:to>
      <xdr:col>11</xdr:col>
      <xdr:colOff>1647824</xdr:colOff>
      <xdr:row>2</xdr:row>
      <xdr:rowOff>0</xdr:rowOff>
    </xdr:to>
    <xdr:sp macro="[0]!Spells.condenseExpand" textlink="">
      <xdr:nvSpPr>
        <xdr:cNvPr id="32" name="Spells Condense">
          <a:extLst>
            <a:ext uri="{FF2B5EF4-FFF2-40B4-BE49-F238E27FC236}">
              <a16:creationId xmlns:a16="http://schemas.microsoft.com/office/drawing/2014/main" id="{00000000-0008-0000-0200-000020000000}"/>
            </a:ext>
          </a:extLst>
        </xdr:cNvPr>
        <xdr:cNvSpPr/>
      </xdr:nvSpPr>
      <xdr:spPr>
        <a:xfrm flipH="1">
          <a:off x="12006263" y="185738"/>
          <a:ext cx="1647824" cy="180975"/>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Condense/Expand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358902</xdr:colOff>
      <xdr:row>0</xdr:row>
      <xdr:rowOff>0</xdr:rowOff>
    </xdr:from>
    <xdr:to>
      <xdr:col>7</xdr:col>
      <xdr:colOff>844669</xdr:colOff>
      <xdr:row>2</xdr:row>
      <xdr:rowOff>0</xdr:rowOff>
    </xdr:to>
    <xdr:sp macro="[0]!Monsters.deleteBlock" textlink="">
      <xdr:nvSpPr>
        <xdr:cNvPr id="9" name="Delete Block">
          <a:extLst>
            <a:ext uri="{FF2B5EF4-FFF2-40B4-BE49-F238E27FC236}">
              <a16:creationId xmlns:a16="http://schemas.microsoft.com/office/drawing/2014/main" id="{00000000-0008-0000-0300-000009000000}"/>
            </a:ext>
          </a:extLst>
        </xdr:cNvPr>
        <xdr:cNvSpPr/>
      </xdr:nvSpPr>
      <xdr:spPr>
        <a:xfrm>
          <a:off x="7121652"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Delete Block</a:t>
          </a:r>
        </a:p>
      </xdr:txBody>
    </xdr:sp>
    <xdr:clientData/>
  </xdr:twoCellAnchor>
  <xdr:twoCellAnchor>
    <xdr:from>
      <xdr:col>2</xdr:col>
      <xdr:colOff>0</xdr:colOff>
      <xdr:row>0</xdr:row>
      <xdr:rowOff>0</xdr:rowOff>
    </xdr:from>
    <xdr:to>
      <xdr:col>2</xdr:col>
      <xdr:colOff>1219192</xdr:colOff>
      <xdr:row>2</xdr:row>
      <xdr:rowOff>0</xdr:rowOff>
    </xdr:to>
    <xdr:sp macro="[0]!Monsters.goToBlock" textlink="">
      <xdr:nvSpPr>
        <xdr:cNvPr id="10" name="Go to Block">
          <a:extLst>
            <a:ext uri="{FF2B5EF4-FFF2-40B4-BE49-F238E27FC236}">
              <a16:creationId xmlns:a16="http://schemas.microsoft.com/office/drawing/2014/main" id="{00000000-0008-0000-0300-00000A000000}"/>
            </a:ext>
          </a:extLst>
        </xdr:cNvPr>
        <xdr:cNvSpPr/>
      </xdr:nvSpPr>
      <xdr:spPr>
        <a:xfrm>
          <a:off x="2247900"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Go to Bloc</a:t>
          </a:r>
          <a:r>
            <a:rPr lang="en-US" sz="900" b="1" u="sng" baseline="0">
              <a:solidFill>
                <a:srgbClr val="F5F5F5"/>
              </a:solidFill>
            </a:rPr>
            <a:t>k</a:t>
          </a:r>
        </a:p>
      </xdr:txBody>
    </xdr:sp>
    <xdr:clientData/>
  </xdr:twoCellAnchor>
  <xdr:twoCellAnchor>
    <xdr:from>
      <xdr:col>7</xdr:col>
      <xdr:colOff>2063877</xdr:colOff>
      <xdr:row>0</xdr:row>
      <xdr:rowOff>0</xdr:rowOff>
    </xdr:from>
    <xdr:to>
      <xdr:col>7</xdr:col>
      <xdr:colOff>3283069</xdr:colOff>
      <xdr:row>2</xdr:row>
      <xdr:rowOff>0</xdr:rowOff>
    </xdr:to>
    <xdr:sp macro="[0]!Monsters.sortByInit" textlink="">
      <xdr:nvSpPr>
        <xdr:cNvPr id="11" name="Sort by Init">
          <a:extLst>
            <a:ext uri="{FF2B5EF4-FFF2-40B4-BE49-F238E27FC236}">
              <a16:creationId xmlns:a16="http://schemas.microsoft.com/office/drawing/2014/main" id="{00000000-0008-0000-0300-00000B000000}"/>
            </a:ext>
          </a:extLst>
        </xdr:cNvPr>
        <xdr:cNvSpPr/>
      </xdr:nvSpPr>
      <xdr:spPr>
        <a:xfrm>
          <a:off x="9560052"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Sort by Init</a:t>
          </a:r>
        </a:p>
      </xdr:txBody>
    </xdr:sp>
    <xdr:clientData/>
  </xdr:twoCellAnchor>
  <xdr:twoCellAnchor>
    <xdr:from>
      <xdr:col>7</xdr:col>
      <xdr:colOff>4502277</xdr:colOff>
      <xdr:row>0</xdr:row>
      <xdr:rowOff>0</xdr:rowOff>
    </xdr:from>
    <xdr:to>
      <xdr:col>7</xdr:col>
      <xdr:colOff>5724525</xdr:colOff>
      <xdr:row>2</xdr:row>
      <xdr:rowOff>0</xdr:rowOff>
    </xdr:to>
    <xdr:sp macro="[0]!Monsters.linkToWorkbook" textlink="">
      <xdr:nvSpPr>
        <xdr:cNvPr id="13" name="Link to Workbook">
          <a:extLst>
            <a:ext uri="{FF2B5EF4-FFF2-40B4-BE49-F238E27FC236}">
              <a16:creationId xmlns:a16="http://schemas.microsoft.com/office/drawing/2014/main" id="{00000000-0008-0000-0300-00000D000000}"/>
            </a:ext>
          </a:extLst>
        </xdr:cNvPr>
        <xdr:cNvSpPr/>
      </xdr:nvSpPr>
      <xdr:spPr>
        <a:xfrm>
          <a:off x="11998452" y="0"/>
          <a:ext cx="1222248"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Link to Workbook</a:t>
          </a:r>
        </a:p>
      </xdr:txBody>
    </xdr:sp>
    <xdr:clientData/>
  </xdr:twoCellAnchor>
  <xdr:twoCellAnchor>
    <xdr:from>
      <xdr:col>7</xdr:col>
      <xdr:colOff>844677</xdr:colOff>
      <xdr:row>0</xdr:row>
      <xdr:rowOff>0</xdr:rowOff>
    </xdr:from>
    <xdr:to>
      <xdr:col>7</xdr:col>
      <xdr:colOff>2063869</xdr:colOff>
      <xdr:row>2</xdr:row>
      <xdr:rowOff>0</xdr:rowOff>
    </xdr:to>
    <xdr:sp macro="[0]!Monsters.rollInitiatives" textlink="">
      <xdr:nvSpPr>
        <xdr:cNvPr id="15" name="Roll Initiatives">
          <a:extLst>
            <a:ext uri="{FF2B5EF4-FFF2-40B4-BE49-F238E27FC236}">
              <a16:creationId xmlns:a16="http://schemas.microsoft.com/office/drawing/2014/main" id="{00000000-0008-0000-0300-00000F000000}"/>
            </a:ext>
          </a:extLst>
        </xdr:cNvPr>
        <xdr:cNvSpPr/>
      </xdr:nvSpPr>
      <xdr:spPr>
        <a:xfrm>
          <a:off x="8340852"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Roll Initiatives</a:t>
          </a:r>
        </a:p>
      </xdr:txBody>
    </xdr:sp>
    <xdr:clientData/>
  </xdr:twoCellAnchor>
  <xdr:twoCellAnchor>
    <xdr:from>
      <xdr:col>4</xdr:col>
      <xdr:colOff>609600</xdr:colOff>
      <xdr:row>0</xdr:row>
      <xdr:rowOff>0</xdr:rowOff>
    </xdr:from>
    <xdr:to>
      <xdr:col>6</xdr:col>
      <xdr:colOff>361942</xdr:colOff>
      <xdr:row>2</xdr:row>
      <xdr:rowOff>0</xdr:rowOff>
    </xdr:to>
    <xdr:sp macro="[0]!Monsters.importGroup" textlink="">
      <xdr:nvSpPr>
        <xdr:cNvPr id="16" name="Import Group">
          <a:extLst>
            <a:ext uri="{FF2B5EF4-FFF2-40B4-BE49-F238E27FC236}">
              <a16:creationId xmlns:a16="http://schemas.microsoft.com/office/drawing/2014/main" id="{00000000-0008-0000-0300-000010000000}"/>
            </a:ext>
          </a:extLst>
        </xdr:cNvPr>
        <xdr:cNvSpPr/>
      </xdr:nvSpPr>
      <xdr:spPr>
        <a:xfrm>
          <a:off x="5905500"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Group</a:t>
          </a:r>
        </a:p>
      </xdr:txBody>
    </xdr:sp>
    <xdr:clientData/>
  </xdr:twoCellAnchor>
  <xdr:twoCellAnchor>
    <xdr:from>
      <xdr:col>7</xdr:col>
      <xdr:colOff>3283077</xdr:colOff>
      <xdr:row>0</xdr:row>
      <xdr:rowOff>0</xdr:rowOff>
    </xdr:from>
    <xdr:to>
      <xdr:col>7</xdr:col>
      <xdr:colOff>4502269</xdr:colOff>
      <xdr:row>2</xdr:row>
      <xdr:rowOff>0</xdr:rowOff>
    </xdr:to>
    <xdr:sp macro="[0]!Monsters.saveAsGroup" textlink="">
      <xdr:nvSpPr>
        <xdr:cNvPr id="17" name="Save as Group">
          <a:extLst>
            <a:ext uri="{FF2B5EF4-FFF2-40B4-BE49-F238E27FC236}">
              <a16:creationId xmlns:a16="http://schemas.microsoft.com/office/drawing/2014/main" id="{00000000-0008-0000-0300-000011000000}"/>
            </a:ext>
          </a:extLst>
        </xdr:cNvPr>
        <xdr:cNvSpPr/>
      </xdr:nvSpPr>
      <xdr:spPr>
        <a:xfrm>
          <a:off x="10779252"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Save as Group</a:t>
          </a:r>
        </a:p>
      </xdr:txBody>
    </xdr:sp>
    <xdr:clientData/>
  </xdr:twoCellAnchor>
  <xdr:twoCellAnchor>
    <xdr:from>
      <xdr:col>2</xdr:col>
      <xdr:colOff>1219200</xdr:colOff>
      <xdr:row>0</xdr:row>
      <xdr:rowOff>0</xdr:rowOff>
    </xdr:from>
    <xdr:to>
      <xdr:col>3</xdr:col>
      <xdr:colOff>123817</xdr:colOff>
      <xdr:row>2</xdr:row>
      <xdr:rowOff>0</xdr:rowOff>
    </xdr:to>
    <xdr:sp macro="[0]!Monsters.newBlock" textlink="">
      <xdr:nvSpPr>
        <xdr:cNvPr id="18" name="New Block">
          <a:extLst>
            <a:ext uri="{FF2B5EF4-FFF2-40B4-BE49-F238E27FC236}">
              <a16:creationId xmlns:a16="http://schemas.microsoft.com/office/drawing/2014/main" id="{00000000-0008-0000-0300-000012000000}"/>
            </a:ext>
          </a:extLst>
        </xdr:cNvPr>
        <xdr:cNvSpPr/>
      </xdr:nvSpPr>
      <xdr:spPr>
        <a:xfrm>
          <a:off x="3467100"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New Block</a:t>
          </a:r>
        </a:p>
      </xdr:txBody>
    </xdr:sp>
    <xdr:clientData/>
  </xdr:twoCellAnchor>
  <xdr:twoCellAnchor>
    <xdr:from>
      <xdr:col>3</xdr:col>
      <xdr:colOff>123825</xdr:colOff>
      <xdr:row>0</xdr:row>
      <xdr:rowOff>0</xdr:rowOff>
    </xdr:from>
    <xdr:to>
      <xdr:col>4</xdr:col>
      <xdr:colOff>609592</xdr:colOff>
      <xdr:row>2</xdr:row>
      <xdr:rowOff>0</xdr:rowOff>
    </xdr:to>
    <xdr:sp macro="[0]!Monsters.importBlock" textlink="">
      <xdr:nvSpPr>
        <xdr:cNvPr id="12" name="Import Block">
          <a:extLst>
            <a:ext uri="{FF2B5EF4-FFF2-40B4-BE49-F238E27FC236}">
              <a16:creationId xmlns:a16="http://schemas.microsoft.com/office/drawing/2014/main" id="{00000000-0008-0000-0300-00000C000000}"/>
            </a:ext>
          </a:extLst>
        </xdr:cNvPr>
        <xdr:cNvSpPr/>
      </xdr:nvSpPr>
      <xdr:spPr>
        <a:xfrm>
          <a:off x="4686300" y="0"/>
          <a:ext cx="1219192"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Import Block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6</xdr:row>
      <xdr:rowOff>0</xdr:rowOff>
    </xdr:from>
    <xdr:to>
      <xdr:col>12</xdr:col>
      <xdr:colOff>0</xdr:colOff>
      <xdr:row>8</xdr:row>
      <xdr:rowOff>0</xdr:rowOff>
    </xdr:to>
    <xdr:sp macro="[0]!showDiceForm" textlink="">
      <xdr:nvSpPr>
        <xdr:cNvPr id="2" name="Roll">
          <a:extLst>
            <a:ext uri="{FF2B5EF4-FFF2-40B4-BE49-F238E27FC236}">
              <a16:creationId xmlns:a16="http://schemas.microsoft.com/office/drawing/2014/main" id="{00000000-0008-0000-0400-000002000000}"/>
            </a:ext>
          </a:extLst>
        </xdr:cNvPr>
        <xdr:cNvSpPr/>
      </xdr:nvSpPr>
      <xdr:spPr>
        <a:xfrm>
          <a:off x="7581900" y="1463040"/>
          <a:ext cx="1082040" cy="36576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sng" baseline="0">
              <a:solidFill>
                <a:srgbClr val="F5F5F5"/>
              </a:solidFill>
            </a:rPr>
            <a:t>R</a:t>
          </a:r>
          <a:r>
            <a:rPr lang="en-US" sz="900" u="none" baseline="0">
              <a:solidFill>
                <a:srgbClr val="F5F5F5"/>
              </a:solidFill>
            </a:rPr>
            <a:t>oll</a:t>
          </a:r>
          <a:endParaRPr lang="en-US" sz="900" baseline="0">
            <a:solidFill>
              <a:srgbClr val="F5F5F5"/>
            </a:solidFill>
          </a:endParaRPr>
        </a:p>
      </xdr:txBody>
    </xdr:sp>
    <xdr:clientData/>
  </xdr:twoCellAnchor>
  <xdr:twoCellAnchor>
    <xdr:from>
      <xdr:col>8</xdr:col>
      <xdr:colOff>1</xdr:colOff>
      <xdr:row>12</xdr:row>
      <xdr:rowOff>0</xdr:rowOff>
    </xdr:from>
    <xdr:to>
      <xdr:col>11</xdr:col>
      <xdr:colOff>1</xdr:colOff>
      <xdr:row>18</xdr:row>
      <xdr:rowOff>0</xdr:rowOff>
    </xdr:to>
    <xdr:sp macro="" textlink="">
      <xdr:nvSpPr>
        <xdr:cNvPr id="3" name="Notes 1">
          <a:extLst>
            <a:ext uri="{FF2B5EF4-FFF2-40B4-BE49-F238E27FC236}">
              <a16:creationId xmlns:a16="http://schemas.microsoft.com/office/drawing/2014/main" id="{00000000-0008-0000-0400-000003000000}"/>
            </a:ext>
          </a:extLst>
        </xdr:cNvPr>
        <xdr:cNvSpPr txBox="1"/>
      </xdr:nvSpPr>
      <xdr:spPr>
        <a:xfrm>
          <a:off x="4335781" y="2560320"/>
          <a:ext cx="3246120" cy="109728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11</xdr:col>
      <xdr:colOff>0</xdr:colOff>
      <xdr:row>12</xdr:row>
      <xdr:rowOff>0</xdr:rowOff>
    </xdr:from>
    <xdr:to>
      <xdr:col>15</xdr:col>
      <xdr:colOff>0</xdr:colOff>
      <xdr:row>18</xdr:row>
      <xdr:rowOff>0</xdr:rowOff>
    </xdr:to>
    <xdr:sp macro="" textlink="">
      <xdr:nvSpPr>
        <xdr:cNvPr id="4" name="Notes 2">
          <a:extLst>
            <a:ext uri="{FF2B5EF4-FFF2-40B4-BE49-F238E27FC236}">
              <a16:creationId xmlns:a16="http://schemas.microsoft.com/office/drawing/2014/main" id="{00000000-0008-0000-0400-000004000000}"/>
            </a:ext>
          </a:extLst>
        </xdr:cNvPr>
        <xdr:cNvSpPr txBox="1"/>
      </xdr:nvSpPr>
      <xdr:spPr>
        <a:xfrm>
          <a:off x="7581900" y="2560320"/>
          <a:ext cx="3307080" cy="1097280"/>
        </a:xfrm>
        <a:prstGeom prst="rect">
          <a:avLst/>
        </a:prstGeom>
        <a:solidFill>
          <a:srgbClr val="40404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endParaRPr lang="en-US" sz="1100">
            <a:solidFill>
              <a:srgbClr val="F5F5F5"/>
            </a:solidFill>
          </a:endParaRPr>
        </a:p>
      </xdr:txBody>
    </xdr:sp>
    <xdr:clientData/>
  </xdr:twoCellAnchor>
  <xdr:twoCellAnchor>
    <xdr:from>
      <xdr:col>4</xdr:col>
      <xdr:colOff>0</xdr:colOff>
      <xdr:row>12</xdr:row>
      <xdr:rowOff>0</xdr:rowOff>
    </xdr:from>
    <xdr:to>
      <xdr:col>7</xdr:col>
      <xdr:colOff>0</xdr:colOff>
      <xdr:row>13</xdr:row>
      <xdr:rowOff>0</xdr:rowOff>
    </xdr:to>
    <xdr:sp macro="[0]!nextTurnMonster" textlink="">
      <xdr:nvSpPr>
        <xdr:cNvPr id="5" name="Next Turn">
          <a:extLst>
            <a:ext uri="{FF2B5EF4-FFF2-40B4-BE49-F238E27FC236}">
              <a16:creationId xmlns:a16="http://schemas.microsoft.com/office/drawing/2014/main" id="{00000000-0008-0000-0400-000005000000}"/>
            </a:ext>
          </a:extLst>
        </xdr:cNvPr>
        <xdr:cNvSpPr/>
      </xdr:nvSpPr>
      <xdr:spPr>
        <a:xfrm>
          <a:off x="1962150" y="2476500"/>
          <a:ext cx="2209800"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Next Turn</a:t>
          </a:r>
        </a:p>
      </xdr:txBody>
    </xdr:sp>
    <xdr:clientData/>
  </xdr:twoCellAnchor>
  <xdr:twoCellAnchor>
    <xdr:from>
      <xdr:col>12</xdr:col>
      <xdr:colOff>0</xdr:colOff>
      <xdr:row>6</xdr:row>
      <xdr:rowOff>0</xdr:rowOff>
    </xdr:from>
    <xdr:to>
      <xdr:col>13</xdr:col>
      <xdr:colOff>0</xdr:colOff>
      <xdr:row>8</xdr:row>
      <xdr:rowOff>0</xdr:rowOff>
    </xdr:to>
    <xdr:sp macro="[0]!skillCalculatorMonster" textlink="">
      <xdr:nvSpPr>
        <xdr:cNvPr id="6" name="Skill Calculator">
          <a:extLst>
            <a:ext uri="{FF2B5EF4-FFF2-40B4-BE49-F238E27FC236}">
              <a16:creationId xmlns:a16="http://schemas.microsoft.com/office/drawing/2014/main" id="{00000000-0008-0000-0400-000006000000}"/>
            </a:ext>
          </a:extLst>
        </xdr:cNvPr>
        <xdr:cNvSpPr/>
      </xdr:nvSpPr>
      <xdr:spPr>
        <a:xfrm>
          <a:off x="8543925" y="1524000"/>
          <a:ext cx="104775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Skill Calculator</a:t>
          </a:r>
        </a:p>
      </xdr:txBody>
    </xdr:sp>
    <xdr:clientData/>
  </xdr:twoCellAnchor>
  <xdr:twoCellAnchor>
    <xdr:from>
      <xdr:col>0</xdr:col>
      <xdr:colOff>0</xdr:colOff>
      <xdr:row>0</xdr:row>
      <xdr:rowOff>0</xdr:rowOff>
    </xdr:from>
    <xdr:to>
      <xdr:col>3</xdr:col>
      <xdr:colOff>0</xdr:colOff>
      <xdr:row>8</xdr:row>
      <xdr:rowOff>0</xdr:rowOff>
    </xdr:to>
    <xdr:pic>
      <xdr:nvPicPr>
        <xdr:cNvPr id="8" name="Character Portrait">
          <a:extLst>
            <a:ext uri="{FF2B5EF4-FFF2-40B4-BE49-F238E27FC236}">
              <a16:creationId xmlns:a16="http://schemas.microsoft.com/office/drawing/2014/main" id="{00000000-0008-0000-0400-000008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1781175" cy="1524000"/>
        </a:xfrm>
        <a:prstGeom prst="rect">
          <a:avLst/>
        </a:prstGeom>
      </xdr:spPr>
    </xdr:pic>
    <xdr:clientData/>
  </xdr:twoCellAnchor>
  <xdr:twoCellAnchor>
    <xdr:from>
      <xdr:col>0</xdr:col>
      <xdr:colOff>0</xdr:colOff>
      <xdr:row>16</xdr:row>
      <xdr:rowOff>0</xdr:rowOff>
    </xdr:from>
    <xdr:to>
      <xdr:col>3</xdr:col>
      <xdr:colOff>0</xdr:colOff>
      <xdr:row>17</xdr:row>
      <xdr:rowOff>0</xdr:rowOff>
    </xdr:to>
    <xdr:sp macro="[0]!addDamageMonster" textlink="">
      <xdr:nvSpPr>
        <xdr:cNvPr id="9" name="Add Damage">
          <a:extLst>
            <a:ext uri="{FF2B5EF4-FFF2-40B4-BE49-F238E27FC236}">
              <a16:creationId xmlns:a16="http://schemas.microsoft.com/office/drawing/2014/main" id="{00000000-0008-0000-0400-000009000000}"/>
            </a:ext>
          </a:extLst>
        </xdr:cNvPr>
        <xdr:cNvSpPr/>
      </xdr:nvSpPr>
      <xdr:spPr>
        <a:xfrm>
          <a:off x="0" y="3048000"/>
          <a:ext cx="1781175" cy="1905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baseline="0">
              <a:solidFill>
                <a:srgbClr val="F5F5F5"/>
              </a:solidFill>
            </a:rPr>
            <a:t>Take Da</a:t>
          </a:r>
          <a:r>
            <a:rPr lang="en-US" sz="900" u="none" baseline="0">
              <a:solidFill>
                <a:srgbClr val="F5F5F5"/>
              </a:solidFill>
            </a:rPr>
            <a:t>mage</a:t>
          </a:r>
          <a:endParaRPr lang="en-US" sz="900" baseline="0">
            <a:solidFill>
              <a:srgbClr val="F5F5F5"/>
            </a:solidFill>
          </a:endParaRPr>
        </a:p>
      </xdr:txBody>
    </xdr:sp>
    <xdr:clientData/>
  </xdr:twoCellAnchor>
  <xdr:twoCellAnchor>
    <xdr:from>
      <xdr:col>13</xdr:col>
      <xdr:colOff>0</xdr:colOff>
      <xdr:row>6</xdr:row>
      <xdr:rowOff>0</xdr:rowOff>
    </xdr:from>
    <xdr:to>
      <xdr:col>15</xdr:col>
      <xdr:colOff>0</xdr:colOff>
      <xdr:row>8</xdr:row>
      <xdr:rowOff>0</xdr:rowOff>
    </xdr:to>
    <xdr:sp macro="[0]!changeScaleMonster" textlink="">
      <xdr:nvSpPr>
        <xdr:cNvPr id="10" name="Change Scale">
          <a:extLst>
            <a:ext uri="{FF2B5EF4-FFF2-40B4-BE49-F238E27FC236}">
              <a16:creationId xmlns:a16="http://schemas.microsoft.com/office/drawing/2014/main" id="{00000000-0008-0000-0400-00000A000000}"/>
            </a:ext>
          </a:extLst>
        </xdr:cNvPr>
        <xdr:cNvSpPr/>
      </xdr:nvSpPr>
      <xdr:spPr>
        <a:xfrm>
          <a:off x="9591675" y="1143000"/>
          <a:ext cx="1104900" cy="381000"/>
        </a:xfrm>
        <a:prstGeom prst="rect">
          <a:avLst/>
        </a:prstGeom>
        <a:solidFill>
          <a:srgbClr val="262626"/>
        </a:solidFill>
        <a:ln w="9525" cap="flat" cmpd="sng" algn="ctr">
          <a:solidFill>
            <a:srgbClr val="5B9BD5"/>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rtlCol="0" anchor="ctr" anchorCtr="0"/>
        <a:lstStyle/>
        <a:p>
          <a:pPr algn="ctr"/>
          <a:r>
            <a:rPr lang="en-US" sz="900" u="none" baseline="0">
              <a:solidFill>
                <a:srgbClr val="F5F5F5"/>
              </a:solidFill>
            </a:rPr>
            <a:t>Change Scale</a:t>
          </a: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4C60C35D-26F7-4257-9FA8-1B2A117781A1}" name="Features" displayName="Features" ref="I1:O2" insertRow="1" totalsRowShown="0" headerRowDxfId="392" dataDxfId="391">
  <autoFilter ref="I1:O2" xr:uid="{279AD88A-2E03-4D5D-966D-263F35AD5FA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2F394C4-79F6-4BF7-AA4A-359BA4F4A680}" name="Feature" dataDxfId="390"/>
    <tableColumn id="2" xr3:uid="{5D854231-B5CD-4F6D-BC39-9F4707477842}" name="-" dataDxfId="389"/>
    <tableColumn id="3" xr3:uid="{57B34B35-C3AA-4236-9AE2-B1887F924352}" name="Description" dataDxfId="388"/>
    <tableColumn id="4" xr3:uid="{06245041-E881-49B7-9619-92CA172148C0}" name="_" dataDxfId="387"/>
    <tableColumn id="5" xr3:uid="{EC4FF24C-483B-40EE-8105-252573EAFE69}" name="__" dataDxfId="386"/>
    <tableColumn id="6" xr3:uid="{AE04F905-CFB8-4A5D-B654-89F19E8C4E37}" name="___" dataDxfId="385"/>
    <tableColumn id="7" xr3:uid="{A1929D57-1B8C-4614-9C88-E2F4BD5711CC}" name="____" dataDxfId="384"/>
  </tableColumns>
  <tableStyleInfo name="General"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D83F191-668C-48A8-B59B-4A1DD448AA51}" name="Actions" displayName="Actions" ref="Q2:S3" totalsRowShown="0" headerRowDxfId="383" dataDxfId="382">
  <autoFilter ref="Q2:S3" xr:uid="{17729ABE-7A4D-46E9-997D-6BFB207F0144}">
    <filterColumn colId="0" hiddenButton="1"/>
    <filterColumn colId="1" hiddenButton="1"/>
    <filterColumn colId="2" hiddenButton="1"/>
  </autoFilter>
  <tableColumns count="3">
    <tableColumn id="1" xr3:uid="{E32D5683-291F-494A-B386-1F862E006E1C}" name="Action" dataDxfId="381"/>
    <tableColumn id="2" xr3:uid="{17875BC6-59CF-4200-A3EB-B1061402FE4E}" name="Description" dataDxfId="380"/>
    <tableColumn id="3" xr3:uid="{1FE112BB-481C-4C0D-B830-12FB513BE6E5}" name="_" dataDxfId="379"/>
  </tableColumns>
  <tableStyleInfo name="General"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B08D5471-15C4-4589-A19A-6A2C0BE32F47}" name="Saves" displayName="Saves" ref="E5:G6" totalsRowShown="0" headerRowDxfId="378" dataDxfId="377">
  <autoFilter ref="E5:G6" xr:uid="{5D7A1BF5-F4CF-4D19-8FC6-C48C5394895E}">
    <filterColumn colId="0" hiddenButton="1"/>
    <filterColumn colId="1" hiddenButton="1"/>
    <filterColumn colId="2" hiddenButton="1"/>
  </autoFilter>
  <tableColumns count="3">
    <tableColumn id="1" xr3:uid="{F5D9B0E8-9D1A-44CD-8CEF-30D98B658658}" name="Saving Throw" dataDxfId="376"/>
    <tableColumn id="2" xr3:uid="{995C76C7-4469-4D72-89B2-2FCF853316E2}" name="Bonus" dataDxfId="375"/>
    <tableColumn id="3" xr3:uid="{49C71450-5E02-48AD-A9F0-363F7E77596C}" name="_" dataDxfId="374"/>
  </tableColumns>
  <tableStyleInfo name="General"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42815F95-2785-480A-B66C-31638F14CD22}" name="Skills" displayName="Skills" ref="E7:G8" insertRow="1" totalsRowShown="0" headerRowDxfId="373" dataDxfId="372">
  <autoFilter ref="E7:G8" xr:uid="{F2E077C0-BCD0-4D5D-9056-A9380717ADFD}">
    <filterColumn colId="0" hiddenButton="1"/>
    <filterColumn colId="1" hiddenButton="1"/>
    <filterColumn colId="2" hiddenButton="1"/>
  </autoFilter>
  <tableColumns count="3">
    <tableColumn id="1" xr3:uid="{7109EABE-24AC-4F4B-827A-29BAAA63FB73}" name="Skill" dataDxfId="371"/>
    <tableColumn id="2" xr3:uid="{3ED13936-76C5-44B1-878C-953375FC6781}" name="Bonus" dataDxfId="370"/>
    <tableColumn id="3" xr3:uid="{087541F6-88BA-4287-A455-18E2C60DE7BA}" name="_" dataDxfId="369"/>
  </tableColumns>
  <tableStyleInfo name="General"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D459410B-DCAB-4FF1-9AAC-3600CF3C4D22}" name="Reactions" displayName="Reactions" ref="Q4:S5" totalsRowShown="0" headerRowDxfId="368" dataDxfId="367">
  <autoFilter ref="Q4:S5" xr:uid="{6260E93A-0577-4045-AFBC-96E236789C05}">
    <filterColumn colId="0" hiddenButton="1"/>
    <filterColumn colId="1" hiddenButton="1"/>
    <filterColumn colId="2" hiddenButton="1"/>
  </autoFilter>
  <tableColumns count="3">
    <tableColumn id="1" xr3:uid="{4DFDFEE5-B4CF-45AC-994E-CFB1BD7A8ADF}" name="Reaction" dataDxfId="366"/>
    <tableColumn id="2" xr3:uid="{F5772E27-2221-4972-AF47-0664CEFCC0D4}" name="Description" dataDxfId="365"/>
    <tableColumn id="3" xr3:uid="{0C9F42E9-D4F1-4CC9-82D8-B0BA72C2A2FE}" name="_" dataDxfId="364"/>
  </tableColumns>
  <tableStyleInfo name="General"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171FD584-4207-4994-A50E-C0920576DF6D}" name="Bonus_Actions" displayName="Bonus_Actions" ref="Q6:S7" insertRow="1" totalsRowShown="0" headerRowDxfId="363" dataDxfId="362">
  <autoFilter ref="Q6:S7" xr:uid="{DBD060CD-8244-4E26-8CC8-6F8C1265295E}">
    <filterColumn colId="0" hiddenButton="1"/>
    <filterColumn colId="1" hiddenButton="1"/>
    <filterColumn colId="2" hiddenButton="1"/>
  </autoFilter>
  <tableColumns count="3">
    <tableColumn id="1" xr3:uid="{44C7056F-4EAC-40C6-9CBD-9987F9D273A4}" name="Bonus Action" dataDxfId="361"/>
    <tableColumn id="2" xr3:uid="{9977EE69-5704-481A-BCEE-055ECD5B46AC}" name="Description" dataDxfId="360"/>
    <tableColumn id="3" xr3:uid="{74FE65BE-7FC6-42A1-93CF-C6AE1210DBB8}" name="_" dataDxfId="359"/>
  </tableColumns>
  <tableStyleInfo name="General"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F26FECB-0DDA-4439-9733-6EE22D572BC7}" name="DamageMods" displayName="DamageMods" ref="E9:G10" totalsRowShown="0" headerRowDxfId="358" dataDxfId="357">
  <autoFilter ref="E9:G10" xr:uid="{699E1E15-49E3-4DF9-890A-38DE5EB53AF4}">
    <filterColumn colId="0" hiddenButton="1"/>
    <filterColumn colId="1" hiddenButton="1"/>
    <filterColumn colId="2" hiddenButton="1"/>
  </autoFilter>
  <tableColumns count="3">
    <tableColumn id="1" xr3:uid="{999851D9-B575-407F-8D99-8B4421623DB6}" name="Dmg Resist" dataDxfId="356"/>
    <tableColumn id="2" xr3:uid="{C8A188E1-AD3A-431F-B0B3-F5341875DEA7}" name="Immun" dataDxfId="355"/>
    <tableColumn id="3" xr3:uid="{A4B2487F-AB84-42D2-83AB-4460CF2F26BD}" name="Vuln" dataDxfId="354"/>
  </tableColumns>
  <tableStyleInfo name="General"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FB46479F-B5CA-4459-A09A-DFD13F93422D}" name="Conditions" displayName="Conditions" ref="E14:G15" totalsRowShown="0" headerRowDxfId="353" dataDxfId="352">
  <autoFilter ref="E14:G15" xr:uid="{8181D8EC-2663-41DD-8AFB-42F5A6994626}">
    <filterColumn colId="0" hiddenButton="1"/>
    <filterColumn colId="1" hiddenButton="1"/>
    <filterColumn colId="2" hiddenButton="1"/>
  </autoFilter>
  <tableColumns count="3">
    <tableColumn id="1" xr3:uid="{0CFAE2A6-F0E9-444D-ADEE-0AF196C987BE}" name="Condition/Effect" dataDxfId="351"/>
    <tableColumn id="2" xr3:uid="{67A6B5C6-247B-4350-9D25-3A613A525A2F}" name="Level" dataDxfId="350"/>
    <tableColumn id="3" xr3:uid="{79703F99-F5CF-486A-829A-5C849D41BA19}" name="Duration" dataDxfId="349"/>
  </tableColumns>
  <tableStyleInfo name="General"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C7643D0D-20AE-42E3-85D0-9BB19AB8C179}" name="Senses_Languages" displayName="Senses_Languages" ref="E1:G2" insertRow="1" totalsRowShown="0" headerRowDxfId="348" dataDxfId="347">
  <autoFilter ref="E1:G2" xr:uid="{60DC56B8-9126-4FF2-9105-5866C4705BCF}">
    <filterColumn colId="0" hiddenButton="1"/>
    <filterColumn colId="1" hiddenButton="1"/>
    <filterColumn colId="2" hiddenButton="1"/>
  </autoFilter>
  <tableColumns count="3">
    <tableColumn id="1" xr3:uid="{DB01BF0E-4248-473D-B0E0-1615B06AAD56}" name="Senses" dataDxfId="346"/>
    <tableColumn id="2" xr3:uid="{B26CD3CF-27F0-4B0A-8AC9-6470BE4BB237}" name="Languages" dataDxfId="345"/>
    <tableColumn id="3" xr3:uid="{25F72807-B61A-4EF9-A2D9-E301ADDA416D}" name="_" dataDxfId="344"/>
  </tableColumns>
  <tableStyleInfo name="General"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72A1BE4F-8684-4A36-AC8C-FF0590983B8B}" name="Attacks" displayName="Attacks" ref="I5:O6" totalsRowShown="0" headerRowDxfId="343" dataDxfId="342">
  <autoFilter ref="I5:O6" xr:uid="{A7077F29-3FFF-4001-A02A-9D2613B872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C22DEB46-EC43-4882-9DFF-487C9215D632}" name="Attack" dataDxfId="341"/>
    <tableColumn id="2" xr3:uid="{93066BE4-44F4-4FD7-AC6C-E7A69ED8A3D6}" name="Type" dataDxfId="340"/>
    <tableColumn id="3" xr3:uid="{30A38C11-F716-428B-88F6-A314C15D8627}" name="To Hit" dataDxfId="339"/>
    <tableColumn id="4" xr3:uid="{FE128F75-F147-4841-B519-06F664272FDA}" name="Damage" dataDxfId="338"/>
    <tableColumn id="5" xr3:uid="{17F412DF-27E6-4300-812A-24C9CC676643}" name="Damage Type" dataDxfId="337"/>
    <tableColumn id="6" xr3:uid="{D6D98765-8ED7-4D5E-81E0-B11ED5484161}" name="Notes" dataDxfId="336"/>
    <tableColumn id="7" xr3:uid="{1373D2F2-99D8-494B-B326-8007733943B4}" name="_" dataDxfId="335"/>
  </tableColumns>
  <tableStyleInfo name="General"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BE20744D-6DA6-4412-AF9B-B12A4861F986}" name="Misc_Proficiencies" displayName="Misc_Proficiencies" ref="E3:G4" insertRow="1" totalsRowShown="0" headerRowDxfId="334" dataDxfId="333">
  <autoFilter ref="E3:G4" xr:uid="{71E5FB0D-983F-4654-918B-05448598D40F}">
    <filterColumn colId="0" hiddenButton="1"/>
    <filterColumn colId="1" hiddenButton="1"/>
    <filterColumn colId="2" hiddenButton="1"/>
  </autoFilter>
  <tableColumns count="3">
    <tableColumn id="1" xr3:uid="{A0013656-78FB-41DB-8C61-47D34AF4413E}" name="Misc Proficiencies" dataDxfId="332"/>
    <tableColumn id="2" xr3:uid="{CE46A2CF-15F4-42BF-B0EB-C5C8185B5E5C}" name="_" dataDxfId="331"/>
    <tableColumn id="3" xr3:uid="{F11C9A19-E672-476C-82F8-9A6A7FDD2CE4}" name="_2" dataDxfId="330"/>
  </tableColumns>
  <tableStyleInfo name="General"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3F23982-EE01-42FE-84CA-DD2BCD6B2EC7}" name="SC" displayName="SC" ref="I7:K8" insertRow="1" totalsRowShown="0" headerRowDxfId="329" dataDxfId="328">
  <autoFilter ref="I7:K8" xr:uid="{16468785-3126-4322-8A7B-5ADCCC5F661F}">
    <filterColumn colId="0" hiddenButton="1"/>
    <filterColumn colId="1" hiddenButton="1"/>
    <filterColumn colId="2" hiddenButton="1"/>
  </autoFilter>
  <tableColumns count="3">
    <tableColumn id="1" xr3:uid="{59896966-1577-43E6-B67A-794B8088ED5A}" name="Spell Attack" dataDxfId="327"/>
    <tableColumn id="2" xr3:uid="{97E996B4-B871-4F1D-9095-A988BC764904}" name="Spell Save DC" dataDxfId="326"/>
    <tableColumn id="3" xr3:uid="{5EB33920-D434-484E-8B26-57C96360EADB}" name="Ability" dataDxfId="325"/>
  </tableColumns>
  <tableStyleInfo name="General"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0214CB-59B0-4A68-9B2A-E4F97CC95EB1}" name="Dice" displayName="Dice" ref="V1:Y7" totalsRowShown="0" headerRowDxfId="324" dataDxfId="323">
  <autoFilter ref="V1:Y7" xr:uid="{7ED98590-741C-49D3-9204-893BE61F7D66}">
    <filterColumn colId="0" hiddenButton="1"/>
    <filterColumn colId="1" hiddenButton="1"/>
    <filterColumn colId="2" hiddenButton="1"/>
    <filterColumn colId="3" hiddenButton="1"/>
  </autoFilter>
  <tableColumns count="4">
    <tableColumn id="1" xr3:uid="{13A87BD7-2E60-4756-839E-BCD62A110C2E}" name="Mult" dataDxfId="322"/>
    <tableColumn id="2" xr3:uid="{279F3C27-586D-49D0-8033-D8E1AD85E068}" name="Dmult" dataDxfId="321"/>
    <tableColumn id="3" xr3:uid="{E2501407-475D-4F8B-8880-579B4B4CD404}" name="D" dataDxfId="320"/>
    <tableColumn id="4" xr3:uid="{2FC06377-0856-435A-924A-BD232B41CCB3}" name="Add" dataDxfId="319"/>
  </tableColumns>
  <tableStyleInfo name="General"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887A30-9FF4-4B80-91CA-7027753B8677}" name="Equipment" displayName="Equipment" ref="I13:O14" insertRow="1" totalsRowShown="0" headerRowDxfId="318" dataDxfId="317">
  <autoFilter ref="I13:O14" xr:uid="{9FD6EFB6-9773-4AC1-AC58-C44C52C6A47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9C3F613-5E85-4228-B114-59C9471F841D}" name="Item" dataDxfId="316"/>
    <tableColumn id="2" xr3:uid="{7CD823C7-917B-4DFB-A9E5-6A48B692CD9A}" name="." dataDxfId="315"/>
    <tableColumn id="3" xr3:uid="{6AE1C0DD-3671-48E6-95C4-21D50A7B0A1A}" name="Quant/Equip?" dataDxfId="314"/>
    <tableColumn id="5" xr3:uid="{42F622F1-355D-465D-B7B4-8DC2E152A40C}" name="Description" dataDxfId="313"/>
    <tableColumn id="6" xr3:uid="{FFEA6B36-7DE7-4EDF-A5AA-33D745A1BA88}" name="_" dataDxfId="312"/>
    <tableColumn id="4" xr3:uid="{0F04AF0B-C901-47CA-8A91-93996035CB6E}" name="__" dataDxfId="311"/>
    <tableColumn id="7" xr3:uid="{AFBDE1E6-AD0C-4C39-9221-1D85C7C45F48}" name="___" dataDxfId="310"/>
  </tableColumns>
  <tableStyleInfo name="General"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771ED-C1A3-4D33-B0CE-B733F20FC20F}" name="Free_Actions" displayName="Free_Actions" ref="Q8:S9" insertRow="1" totalsRowShown="0" headerRowDxfId="309" dataDxfId="308">
  <autoFilter ref="Q8:S9" xr:uid="{EAF37428-1E7C-4CEB-AD1A-7E066211F9FD}">
    <filterColumn colId="0" hiddenButton="1"/>
    <filterColumn colId="1" hiddenButton="1"/>
    <filterColumn colId="2" hiddenButton="1"/>
  </autoFilter>
  <tableColumns count="3">
    <tableColumn id="1" xr3:uid="{37CB858D-E329-413E-BCA6-7DCA0A67C44A}" name="Free Action" dataDxfId="307"/>
    <tableColumn id="2" xr3:uid="{B291E95B-8112-47CF-85BC-F8655C474057}" name="Description" dataDxfId="306"/>
    <tableColumn id="3" xr3:uid="{F587927F-AB4F-4721-8F2D-4CBB7963D510}" name="_" dataDxfId="305"/>
  </tableColumns>
  <tableStyleInfo name="General"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3D976-41A6-40F6-A792-435BB80ECD7D}" name="Classes" displayName="Classes" ref="A35:C36" insertRow="1" totalsRowShown="0" headerRowDxfId="304" dataDxfId="302" headerRowBorderDxfId="303" tableBorderDxfId="301" dataCellStyle="FirstRow">
  <autoFilter ref="A35:C36" xr:uid="{DBDBB092-1161-459C-9668-E8F43B2AA3AC}">
    <filterColumn colId="0" hiddenButton="1"/>
    <filterColumn colId="1" hiddenButton="1"/>
    <filterColumn colId="2" hiddenButton="1"/>
  </autoFilter>
  <tableColumns count="3">
    <tableColumn id="1" xr3:uid="{FCBE1601-A797-464C-807E-8717A3DA4796}" name="Class" dataDxfId="300" dataCellStyle="FirstRow"/>
    <tableColumn id="2" xr3:uid="{912594F7-5FDA-4CB7-A979-6EC0CD7AA5A5}" name="Level" dataDxfId="299" dataCellStyle="FirstRow"/>
    <tableColumn id="3" xr3:uid="{ABD0220B-FDE7-4ACA-85F4-FF4A282C8AEF}" name="Subclass" dataDxfId="298" dataCellStyle="FirstRow"/>
  </tableColumns>
  <tableStyleInfo name="General"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21B5997-D63D-4710-87CF-C088CF8FA442}" name="AC_Speed" displayName="AC_Speed" ref="A18:C19" totalsRowShown="0" headerRowDxfId="297" dataDxfId="296" tableBorderDxfId="295">
  <autoFilter ref="A18:C19" xr:uid="{67E2879E-BE8E-44FF-BDCE-327C9C0E14EB}">
    <filterColumn colId="0" hiddenButton="1"/>
    <filterColumn colId="1" hiddenButton="1"/>
    <filterColumn colId="2" hiddenButton="1"/>
  </autoFilter>
  <tableColumns count="3">
    <tableColumn id="1" xr3:uid="{06E93881-01F3-45EF-953F-61DF0F3C5029}" name="HP" dataDxfId="294" dataCellStyle="FirstRow"/>
    <tableColumn id="2" xr3:uid="{5AA09547-C68D-4873-8319-3FF3DAAD15D4}" name="AC" dataDxfId="293"/>
    <tableColumn id="3" xr3:uid="{B819F898-D331-4923-AE80-B8141B0B1EC7}" name="Speed" dataDxfId="292"/>
  </tableColumns>
  <tableStyleInfo name="General"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036B79-08A7-4901-B23F-5C023542D651}" name="HitDice" displayName="HitDice" ref="A24:C25" totalsRowShown="0" headerRowDxfId="291" dataDxfId="290" tableBorderDxfId="289">
  <autoFilter ref="A24:C25" xr:uid="{DD0C7F9C-0C9A-4A3F-A4A2-5A8023F9508A}">
    <filterColumn colId="0" hiddenButton="1"/>
    <filterColumn colId="1" hiddenButton="1"/>
    <filterColumn colId="2" hiddenButton="1"/>
  </autoFilter>
  <tableColumns count="3">
    <tableColumn id="1" xr3:uid="{7524C725-D772-4967-9B1D-656C0BDBAD63}" name="Hit Die S#" dataDxfId="288"/>
    <tableColumn id="2" xr3:uid="{5F2D9A9A-62DE-48BF-B0A2-C659631C48CE}" name="Remain" dataDxfId="287" dataCellStyle="Normal Bold"/>
    <tableColumn id="3" xr3:uid="{91FEA827-3E5E-4FD1-A8B7-BC81FB9022B7}" name="Max" dataDxfId="286"/>
  </tableColumns>
  <tableStyleInfo name="General"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47561B9-6824-41E6-9C2B-1F2AAB6620A9}" name="HPMax" displayName="HPMax" ref="A20:A21" totalsRowShown="0" headerRowDxfId="285" dataDxfId="283" headerRowBorderDxfId="284" headerRowCellStyle="Header" dataCellStyle="FirstRow">
  <autoFilter ref="A20:A21" xr:uid="{3C799C34-8C9F-4BA4-9E80-B12AD8C8F5BF}">
    <filterColumn colId="0" hiddenButton="1"/>
  </autoFilter>
  <tableColumns count="1">
    <tableColumn id="1" xr3:uid="{4CFFF6E9-35E7-49E8-B136-DC0F0295EBC8}" name="HP Max" dataDxfId="282" dataCellStyle="FirstRow"/>
  </tableColumns>
  <tableStyleInfo name="General"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433CE06-89D8-4CE0-96E3-E75280E31FD5}" name="Attunments" displayName="Attunments" ref="E17:G20" totalsRowShown="0" headerRowDxfId="281" dataDxfId="280">
  <autoFilter ref="E17:G20" xr:uid="{B9C79D9C-0BCD-4B25-8C44-07E38E06895D}">
    <filterColumn colId="0" hiddenButton="1"/>
    <filterColumn colId="1" hiddenButton="1"/>
    <filterColumn colId="2" hiddenButton="1"/>
  </autoFilter>
  <tableColumns count="3">
    <tableColumn id="1" xr3:uid="{97604C0E-A822-4CC5-A37B-3C96C1388372}" name="Attunmnt" dataDxfId="279"/>
    <tableColumn id="2" xr3:uid="{000AB14A-66CB-4303-9E15-E90248B915BF}" name="_" dataDxfId="278"/>
    <tableColumn id="3" xr3:uid="{454B4DD9-3622-4392-9EFF-8A7278D12BBF}" name="__" dataDxfId="277"/>
  </tableColumns>
  <tableStyleInfo name="General"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2468C5-C501-4466-B7E3-4BDFB717947B}" name="Charges" displayName="Charges" ref="Q16:S17" totalsRowShown="0" headerRowDxfId="276" dataDxfId="275">
  <autoFilter ref="Q16:S17" xr:uid="{B39FEEE1-E8C8-4015-A466-1EB8CF8F3EF4}">
    <filterColumn colId="0" hiddenButton="1"/>
    <filterColumn colId="1" hiddenButton="1"/>
    <filterColumn colId="2" hiddenButton="1"/>
  </autoFilter>
  <tableColumns count="3">
    <tableColumn id="1" xr3:uid="{9CB081E0-B6A2-4BB1-8592-3CB5CDEF948F}" name="Item" dataDxfId="274"/>
    <tableColumn id="2" xr3:uid="{92F5F76B-3AB9-429B-BD9A-A8F79FE64109}" name="Charges" dataDxfId="273"/>
    <tableColumn id="3" xr3:uid="{228A4D12-1FB9-4F47-A1E3-8323F2152730}" name="Max Charges" dataDxfId="272"/>
  </tableColumns>
  <tableStyleInfo name="General"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5BA9F36-5B51-463E-B37C-31FC21ED9DE3}" name="Slots" displayName="Slots" ref="Q12:S13" totalsRowShown="0" headerRowDxfId="271" dataDxfId="270">
  <autoFilter ref="Q12:S13" xr:uid="{D9116A24-FFDF-4E2A-9FBA-F18D0B9B9F76}">
    <filterColumn colId="0" hiddenButton="1"/>
    <filterColumn colId="1" hiddenButton="1"/>
    <filterColumn colId="2" hiddenButton="1"/>
  </autoFilter>
  <tableColumns count="3">
    <tableColumn id="1" xr3:uid="{973BD046-3790-4269-9A84-6F1630B4F8BF}" name="Level/Type" dataDxfId="269"/>
    <tableColumn id="2" xr3:uid="{87FBE100-E37C-45BC-AA55-05084498E23C}" name="Slots" dataCellStyle="Normal Bold"/>
    <tableColumn id="3" xr3:uid="{5EC0C424-7C6A-47C5-8058-B9FB13716E1E}" name="Max Slots" dataDxfId="268"/>
  </tableColumns>
  <tableStyleInfo name="General"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9001380-19DE-4C97-9D9D-13331179DFFC}" name="CellColors" displayName="CellColors" ref="X10:AD94" totalsRowShown="0" headerRowDxfId="267" dataDxfId="266">
  <autoFilter ref="X10:AD94" xr:uid="{9CC20705-D49A-4DF6-ADE9-86821A78846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C9AA600-61F9-449B-9C3B-5E20690CEF15}" name="Theme" dataDxfId="265"/>
    <tableColumn id="2" xr3:uid="{19B06F5F-1A7B-4EFD-AD01-01932ED3C889}" name="Style Name" dataDxfId="264"/>
    <tableColumn id="5" xr3:uid="{D189CAC9-891B-495B-BDBC-78E8C7B00930}" name="Interior" dataDxfId="263"/>
    <tableColumn id="7" xr3:uid="{C69D8310-E162-4E9E-A15E-1B350DA04D6E}" name="Font" dataDxfId="262"/>
    <tableColumn id="6" xr3:uid="{49F4D0AD-105E-4E67-809C-4EF847D2070A}" name="Border" dataDxfId="261"/>
    <tableColumn id="3" xr3:uid="{74996E81-9C44-42F7-BA20-4BF6365B1775}" name="Pattern Name" dataDxfId="260"/>
    <tableColumn id="4" xr3:uid="{AA1C36CB-54C2-4461-B61F-930A5020D829}" name="Pattern" dataDxfId="259"/>
  </tableColumns>
  <tableStyleInfo name="General"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617A676-575B-4D2C-9509-A06192D8DF3A}" name="TableColors" displayName="TableColors" ref="AF2:AM26" totalsRowShown="0" headerRowDxfId="258" dataDxfId="257">
  <autoFilter ref="AF2:AM26" xr:uid="{934619F1-4F48-4E94-972D-1C0A0F7DC3B6}">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ACB2B35-AE0D-4A98-BCF7-C23FB3AD9F0A}" name="Theme" dataDxfId="256"/>
    <tableColumn id="2" xr3:uid="{D2D529B0-66DD-44DC-8F11-A2A9C45A2AC7}" name="Style Name" dataDxfId="255"/>
    <tableColumn id="4" xr3:uid="{5D6559B7-5039-473E-A1D4-1393DBA3266B}" name="Header" dataDxfId="254"/>
    <tableColumn id="3" xr3:uid="{C6E5DF9F-B07D-47F4-BFAA-EC110D790AA5}" name="Header Font" dataDxfId="253"/>
    <tableColumn id="6" xr3:uid="{2C230A77-F57B-42DC-A158-C7762760C329}" name="Row1" dataDxfId="252"/>
    <tableColumn id="5" xr3:uid="{C5AE3700-AF05-4F05-8183-53464D887255}" name="Row1 Font" dataDxfId="251"/>
    <tableColumn id="8" xr3:uid="{275E2A0F-D43B-477F-B6C4-D85F50E2355C}" name="Row2" dataDxfId="250"/>
    <tableColumn id="14" xr3:uid="{F7A57C91-2051-42A5-9D94-6260FD61E0F4}" name="Row2 Font" dataDxfId="249"/>
  </tableColumns>
  <tableStyleInfo name="General"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B9DC1EF-DA1F-4485-948A-A17A92AACA3B}" name="ObjectsMiscColors" displayName="ObjectsMiscColors" ref="AF28:AJ40" totalsRowShown="0" headerRowDxfId="248" dataDxfId="247">
  <autoFilter ref="AF28:AJ40" xr:uid="{BFA9DC9A-7033-4E41-938C-706A566BBA29}">
    <filterColumn colId="0" hiddenButton="1"/>
    <filterColumn colId="1" hiddenButton="1"/>
    <filterColumn colId="2" hiddenButton="1"/>
    <filterColumn colId="3" hiddenButton="1"/>
    <filterColumn colId="4" hiddenButton="1"/>
  </autoFilter>
  <tableColumns count="5">
    <tableColumn id="1" xr3:uid="{93275C71-B372-4BB0-8238-AF1258B00C3B}" name="Theme" dataDxfId="246"/>
    <tableColumn id="2" xr3:uid="{2D50F038-53D3-4F71-BD98-050128768BB2}" name="Spell Name" dataDxfId="245"/>
    <tableColumn id="3" xr3:uid="{C3FE13D4-928D-495C-BAF5-2DA036C207F7}" name="TextBox" dataDxfId="244"/>
    <tableColumn id="6" xr3:uid="{18DE8183-A017-410A-B557-220F5028751B}" name="TextBox Font" dataDxfId="243"/>
    <tableColumn id="4" xr3:uid="{AA443BA0-2901-4528-B968-EB25793D9625}" name="Row Highlight" dataDxfId="242"/>
  </tableColumns>
  <tableStyleInfo name="General"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7891EAC-E825-4AB1-A433-F2DDA7335A70}" name="Themes" displayName="Themes" ref="V10:V22" totalsRowShown="0" headerRowDxfId="241" dataDxfId="240">
  <autoFilter ref="V10:V22" xr:uid="{8BCC693A-65FA-4A39-967E-BAD907D84066}">
    <filterColumn colId="0" hiddenButton="1"/>
  </autoFilter>
  <tableColumns count="1">
    <tableColumn id="1" xr3:uid="{4DDAB867-AC7A-4DF7-924F-FE214B9200A6}" name="Themes" dataDxfId="239"/>
  </tableColumns>
  <tableStyleInfo name="General"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654A854-1192-499A-A1BD-2E86A9509E6C}" name="Prof" displayName="Prof" ref="B20:B21" totalsRowShown="0" headerRowDxfId="238" dataDxfId="236" headerRowBorderDxfId="237" headerRowCellStyle="Header" dataCellStyle="FirstRow">
  <autoFilter ref="B20:B21" xr:uid="{C2E4BD44-25C6-4988-A2A6-4CF3572E9A0F}">
    <filterColumn colId="0" hiddenButton="1"/>
  </autoFilter>
  <tableColumns count="1">
    <tableColumn id="1" xr3:uid="{E314810C-BDA7-4C1E-8B86-EE8AB9DFCC07}" name="Prof" dataDxfId="235" dataCellStyle="FirstRow"/>
  </tableColumns>
  <tableStyleInfo name="General"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7756E63-2D68-4C8A-AFD4-91F73EEE0416}" name="KeyValue" displayName="KeyValue" ref="AO1:AP14" totalsRowShown="0" headerRowDxfId="234" dataDxfId="233">
  <autoFilter ref="AO1:AP14" xr:uid="{FBD9AAFC-20A3-4CEF-AC76-EA8630D67F53}">
    <filterColumn colId="0" hiddenButton="1"/>
    <filterColumn colId="1" hiddenButton="1"/>
  </autoFilter>
  <tableColumns count="2">
    <tableColumn id="1" xr3:uid="{A73E2026-2D45-4A84-8272-F0DF8DAF6364}" name="Key" dataDxfId="232"/>
    <tableColumn id="2" xr3:uid="{0C95CDF4-EE4A-4590-9F8E-E5E81E753149}" name="Value" dataDxfId="231"/>
  </tableColumns>
  <tableStyleInfo name="General"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11DA13C-C264-4ADC-8378-BFDDCA463F70}" name="PaneColMap" displayName="PaneColMap" ref="AA1:AB6" totalsRowShown="0" headerRowDxfId="230" dataDxfId="229">
  <autoFilter ref="AA1:AB6" xr:uid="{5549D2D0-59ED-45E1-BDE2-0FE5EE947C10}">
    <filterColumn colId="0" hiddenButton="1"/>
    <filterColumn colId="1" hiddenButton="1"/>
  </autoFilter>
  <tableColumns count="2">
    <tableColumn id="1" xr3:uid="{E0A3FEAB-88F3-4789-85E4-E650E4C8E3C1}" name="Pane" dataDxfId="228"/>
    <tableColumn id="2" xr3:uid="{DCBB505C-FD30-4DB7-9A68-007548ED3753}" name="Cols" dataDxfId="227"/>
  </tableColumns>
  <tableStyleInfo name="General"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E465FEF1-4D83-4C1D-A2E3-2A1BE8471A2F}" name="PCSize" displayName="PCSize" ref="AF43:AM46" totalsRowShown="0" headerRowDxfId="226" dataDxfId="225">
  <autoFilter ref="AF43:AM46" xr:uid="{E465FEF1-4D83-4C1D-A2E3-2A1BE8471A2F}">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FED05665-5E45-4A0E-BC81-647EA03F1C46}" name="Name" dataDxfId="224"/>
    <tableColumn id="2" xr3:uid="{F40C9570-8DAE-4D2C-AE1C-5844AB3751A4}" name="Pane1" dataDxfId="223"/>
    <tableColumn id="3" xr3:uid="{048F63C2-8BFC-4757-A48E-5940CDD39AF7}" name="Pane2" dataDxfId="222"/>
    <tableColumn id="4" xr3:uid="{AEF319E7-2CA2-4201-840E-A1E857AFB4FF}" name="Pane3" dataDxfId="221"/>
    <tableColumn id="5" xr3:uid="{DFD35D31-708E-4886-AD8F-1235C11EFD38}" name="Pane4" dataDxfId="220"/>
    <tableColumn id="6" xr3:uid="{F502466D-6F91-4158-B116-D5FC2C7B8C0E}" name="Pane5" dataDxfId="219"/>
    <tableColumn id="7" xr3:uid="{4FD37218-8066-4128-BC27-245BA73B76D7}" name="Background" dataDxfId="218"/>
    <tableColumn id="8" xr3:uid="{A27E9AEA-0C3F-4DEA-BD30-64E3038DA98A}" name="Spells" dataDxfId="217"/>
  </tableColumns>
  <tableStyleInfo name="General"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E032FF-4C69-41C0-8D7F-FF17183753E9}" name="SpellInfo" displayName="SpellInfo" ref="A7:O8" insertRow="1" totalsRowShown="0" headerRowDxfId="179" dataDxfId="178">
  <autoFilter ref="A7:O8" xr:uid="{2C06B113-75DF-493B-A371-A1C438625607}"/>
  <sortState xmlns:xlrd2="http://schemas.microsoft.com/office/spreadsheetml/2017/richdata2" ref="A7:O7">
    <sortCondition ref="B7"/>
  </sortState>
  <tableColumns count="15">
    <tableColumn id="1" xr3:uid="{6B68253C-70A7-4BFE-BA6E-B944A9B270E6}" name="Prepared" dataDxfId="177"/>
    <tableColumn id="2" xr3:uid="{6CC9C870-2937-4217-929B-A91A50718489}" name="Level" dataDxfId="176"/>
    <tableColumn id="3" xr3:uid="{1C1A39EE-48A9-4D5E-994D-07EC706C66E3}" name="Spell Name" dataDxfId="175"/>
    <tableColumn id="4" xr3:uid="{9674D554-8C50-4894-8A3A-57CF16556813}" name="Time to cast" dataDxfId="174"/>
    <tableColumn id="5" xr3:uid="{A75EEFD6-49F6-41F2-A157-351D7D14C240}" name="School" dataDxfId="173"/>
    <tableColumn id="6" xr3:uid="{87405DD3-EF88-46A5-BDB4-64C1C7B1078E}" name="Concentration" dataDxfId="172"/>
    <tableColumn id="7" xr3:uid="{273B1CB7-89C7-4D4B-B11F-C309F8053625}" name="Range" dataDxfId="171"/>
    <tableColumn id="8" xr3:uid="{5A587027-93A6-44B8-91D8-2148DC45455A}" name="Duration" dataDxfId="170"/>
    <tableColumn id="9" xr3:uid="{988EB170-BB7F-45FC-B4AC-06B20AA370D9}" name="Damage" dataDxfId="169"/>
    <tableColumn id="10" xr3:uid="{A4930C11-FE8B-4A75-9792-C405F1C9C22C}" name="Upcast" dataDxfId="168" dataCellStyle="Normal"/>
    <tableColumn id="12" xr3:uid="{660F387A-07A2-43F2-9A6A-B81D65A85522}" name="Save" dataDxfId="167"/>
    <tableColumn id="13" xr3:uid="{408228DF-AE49-4989-ACC8-E1000CF30B71}" name="Components" dataDxfId="166"/>
    <tableColumn id="14" xr3:uid="{718E214F-F5F6-4CC5-86D2-0732470C1A81}" name="Ability" dataDxfId="165"/>
    <tableColumn id="11" xr3:uid="{C4306F52-58E9-4592-B244-F0992A451261}" name="Notes" dataDxfId="164"/>
    <tableColumn id="15" xr3:uid="{C52BA03D-6F3D-46A2-B8DA-21BABB32F9CA}" name="Description" dataDxfId="163"/>
  </tableColumns>
  <tableStyleInfo name="General"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1A45F1-BC37-44F3-8F00-70A2BF8FC207}" name="SpellSlots1_5" displayName="SpellSlots1_5" ref="A1:C6" totalsRowShown="0" headerRowDxfId="162" dataDxfId="161" tableBorderDxfId="160">
  <autoFilter ref="A1:C6" xr:uid="{B453F718-FE45-4242-8495-A3F9081AD84E}">
    <filterColumn colId="0" hiddenButton="1"/>
    <filterColumn colId="1" hiddenButton="1"/>
    <filterColumn colId="2" hiddenButton="1"/>
  </autoFilter>
  <tableColumns count="3">
    <tableColumn id="1" xr3:uid="{340A15D6-53EA-41B7-8129-3C12A2C99C4F}" name="Level" dataDxfId="159"/>
    <tableColumn id="2" xr3:uid="{E57739DA-D7C7-43B1-A578-53C6D468FF18}" name="Remaining" dataCellStyle="Normal Bold"/>
    <tableColumn id="3" xr3:uid="{92BDD61C-DC13-4E4C-AB50-A9B52D5B05AC}" name="Total" dataDxfId="158"/>
  </tableColumns>
  <tableStyleInfo name="SpellSlots"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739C81-5670-4DEA-B1D5-EE5A44C4B35E}" name="SpellSlots6_9" displayName="SpellSlots6_9" ref="F1:H5" totalsRowShown="0" headerRowDxfId="157" dataDxfId="156" tableBorderDxfId="155">
  <autoFilter ref="F1:H5" xr:uid="{917A7772-442E-4FCA-8367-E5E930382FCF}">
    <filterColumn colId="0" hiddenButton="1"/>
    <filterColumn colId="1" hiddenButton="1"/>
    <filterColumn colId="2" hiddenButton="1"/>
  </autoFilter>
  <tableColumns count="3">
    <tableColumn id="1" xr3:uid="{1F93F2FD-3848-4925-99C4-E8B3F6AB0529}" name="Level" dataDxfId="154"/>
    <tableColumn id="2" xr3:uid="{C238E2E3-0A48-4767-A60C-EB413682247C}" name="Remaining" dataDxfId="153"/>
    <tableColumn id="3" xr3:uid="{DF8F1F97-8D0B-4892-8906-E6B8B9C8A080}" name="Total" dataDxfId="152"/>
  </tableColumns>
  <tableStyleInfo name="SpellSlots"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78C4C0-5FCE-4FBC-B5F5-04C2B1BEC14F}" name="SpellBank" displayName="SpellBank" ref="A14:O281" totalsRowShown="0" headerRowDxfId="151" dataDxfId="150">
  <autoFilter ref="A14:O281" xr:uid="{4F641020-2E58-4049-89BF-A05F2BF1F903}"/>
  <sortState xmlns:xlrd2="http://schemas.microsoft.com/office/spreadsheetml/2017/richdata2" ref="A15:O281">
    <sortCondition ref="B14:B281"/>
  </sortState>
  <tableColumns count="15">
    <tableColumn id="1" xr3:uid="{32350DC0-BFBD-442F-9D35-210B091D061A}" name="Classes" dataDxfId="149"/>
    <tableColumn id="2" xr3:uid="{4109B021-89F3-4C3D-BAB1-5CD5E9B01C12}" name="Level" dataDxfId="148"/>
    <tableColumn id="3" xr3:uid="{8CCD5503-4957-460F-8207-CABE75A7158B}" name="Spell Name" dataDxfId="147" dataCellStyle="Button"/>
    <tableColumn id="4" xr3:uid="{F906786E-8B60-4D92-A419-7ED2033B8BB6}" name="Time to cast" dataDxfId="146"/>
    <tableColumn id="5" xr3:uid="{CF851290-156A-486C-90CB-48548A55F8D1}" name="School" dataDxfId="145"/>
    <tableColumn id="6" xr3:uid="{08815902-5767-4210-803D-29FD040153BF}" name="Concentration" dataDxfId="144"/>
    <tableColumn id="7" xr3:uid="{1B1D0F32-EBCC-4F00-A42C-6DBD71E3E249}" name="Range" dataDxfId="143"/>
    <tableColumn id="8" xr3:uid="{BE24F62C-9A41-4ECC-B766-835E466534A9}" name="Duration" dataDxfId="142"/>
    <tableColumn id="9" xr3:uid="{970C4FEA-137E-4D7D-AE30-10C15F6E89CF}" name="Damage" dataDxfId="141"/>
    <tableColumn id="10" xr3:uid="{0BE23674-50A7-47CF-B799-20BC1724479F}" name="Upcast" dataCellStyle="Normal"/>
    <tableColumn id="11" xr3:uid="{8D6B2726-B3B8-4BD3-8A35-CD42E91908A9}" name="Save" dataDxfId="140"/>
    <tableColumn id="12" xr3:uid="{4CD0B030-60B1-4E25-A5BA-A6764A39423A}" name="Components" dataDxfId="139"/>
    <tableColumn id="13" xr3:uid="{6A44DC14-5E93-4F2F-930C-8D8C18C3906B}" name="Expand" dataCellStyle="Button"/>
    <tableColumn id="14" xr3:uid="{CE40F2DD-68CD-477A-B624-DBC8498C5EC9}" name="Notes"/>
    <tableColumn id="15" xr3:uid="{81D24A30-11A3-44DB-A22F-A65A818F4F1E}" name="Description" dataDxfId="138"/>
  </tableColumns>
  <tableStyleInfo name="General"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B2547E62-D6DE-487C-B9A7-FCF6DFF0E552}" name="Monster_Initiative" displayName="Monster_Initiative" ref="A3:H4" insertRow="1" totalsRowShown="0" headerRowDxfId="137" dataDxfId="136">
  <autoFilter ref="A3:H4" xr:uid="{B2547E62-D6DE-487C-B9A7-FCF6DFF0E55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FFABFA0-EC3E-4F55-A4EB-926F7AAC0FB5}" name="Initiative" dataDxfId="135"/>
    <tableColumn id="2" xr3:uid="{C7E37E6E-7ED1-46A2-BA15-E16F2659D590}" name="Stat Block" dataDxfId="134"/>
    <tableColumn id="3" xr3:uid="{251619F0-B4F8-4D73-91F0-7A98F9BFC375}" name="Name" dataDxfId="133"/>
    <tableColumn id="4" xr3:uid="{21578149-3639-4140-9478-53ED33363F3D}" name="HP" dataDxfId="132">
      <calculatedColumnFormula>#REF!</calculatedColumnFormula>
    </tableColumn>
    <tableColumn id="5" xr3:uid="{F15B3BE8-891E-4797-9020-479CBCFF06DC}" name="Max HP" dataDxfId="131">
      <calculatedColumnFormula>#REF!</calculatedColumnFormula>
    </tableColumn>
    <tableColumn id="6" xr3:uid="{D4C7F0C1-C842-46AD-AFD5-80C88A7E4504}" name="AC" dataDxfId="130">
      <calculatedColumnFormula>#REF!</calculatedColumnFormula>
    </tableColumn>
    <tableColumn id="7" xr3:uid="{B4B14179-66E0-407B-84F4-09BB1B832313}" name="Speed" dataDxfId="129">
      <calculatedColumnFormula>#REF!</calculatedColumnFormula>
    </tableColumn>
    <tableColumn id="8" xr3:uid="{83C5F9E7-61E6-44DE-81FF-377AA468103B}" name="Notes" dataDxfId="128"/>
  </tableColumns>
  <tableStyleInfo name="General"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66506CAB-F486-46E1-BFFD-30DA1334C895}" name="Monster_Groups" displayName="Monster_Groups" ref="A12:H13" totalsRowShown="0" headerRowDxfId="127" dataDxfId="126">
  <autoFilter ref="A12:H13" xr:uid="{66506CAB-F486-46E1-BFFD-30DA1334C895}"/>
  <tableColumns count="8">
    <tableColumn id="1" xr3:uid="{EF7F8A89-CA40-413E-AFB3-DF1455769F29}" name="Group" dataDxfId="125"/>
    <tableColumn id="2" xr3:uid="{958C81F6-EFD4-47F0-9B22-2A15BA21A581}" name="Stat Block" dataDxfId="124"/>
    <tableColumn id="3" xr3:uid="{5BCEAA93-0C17-43E3-A0CD-2933A630133D}" name="Name" dataDxfId="123"/>
    <tableColumn id="4" xr3:uid="{D1C3CE3B-D8CA-44C8-B331-57C6400BAC7E}" name="HP" dataDxfId="122"/>
    <tableColumn id="5" xr3:uid="{40B37C29-946F-44A5-BFED-B917E7C1AE74}" name="Max HP" dataDxfId="121"/>
    <tableColumn id="6" xr3:uid="{8359BDE8-D32D-4ABB-BBF6-A74FA8960ECD}" name="AC" dataDxfId="120"/>
    <tableColumn id="7" xr3:uid="{1B7A4C5D-5321-4BD9-98D9-B494FBDF1FFF}" name="Speed" dataDxfId="119"/>
    <tableColumn id="8" xr3:uid="{79B7DF86-EB1B-434C-BE74-E4361A869B44}" name="Notes" dataDxfId="118"/>
  </tableColumns>
  <tableStyleInfo name="General"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1" xr:uid="{BBA84036-29C4-4276-B6EB-49038A83E8C9}" name="MonsterSize" displayName="MonsterSize" ref="J2:N5" totalsRowShown="0" headerRowDxfId="117" dataDxfId="116">
  <autoFilter ref="J2:N5" xr:uid="{BBA84036-29C4-4276-B6EB-49038A83E8C9}">
    <filterColumn colId="0" hiddenButton="1"/>
    <filterColumn colId="1" hiddenButton="1"/>
    <filterColumn colId="2" hiddenButton="1"/>
    <filterColumn colId="3" hiddenButton="1"/>
    <filterColumn colId="4" hiddenButton="1"/>
  </autoFilter>
  <tableColumns count="5">
    <tableColumn id="1" xr3:uid="{1BBB26B3-872B-448D-922F-D19A4E9CE3E1}" name="Name" dataDxfId="115"/>
    <tableColumn id="2" xr3:uid="{4CC06BD6-4953-47E4-A529-64A7DBADA749}" name="Pane1" dataDxfId="114"/>
    <tableColumn id="3" xr3:uid="{BE1777F0-BC99-42DE-8272-50B2FFA07688}" name="Pane2" dataDxfId="113"/>
    <tableColumn id="4" xr3:uid="{3B3C4CF0-E933-40DE-9DB9-CB37FF7E0D64}" name="Pane3" dataDxfId="112"/>
    <tableColumn id="5" xr3:uid="{2F6C9375-421D-4F97-8B7D-FAC882E7E771}" name="Pane4" dataDxfId="111"/>
  </tableColumns>
  <tableStyleInfo name="General"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2" xr:uid="{ABA112AE-1A70-4BD9-BE57-36358A6FDF5C}" name="MonsterPaneColMap" displayName="MonsterPaneColMap" ref="P2:Q6" totalsRowShown="0" headerRowDxfId="110" dataDxfId="109">
  <autoFilter ref="P2:Q6" xr:uid="{ABA112AE-1A70-4BD9-BE57-36358A6FDF5C}">
    <filterColumn colId="0" hiddenButton="1"/>
    <filterColumn colId="1" hiddenButton="1"/>
  </autoFilter>
  <tableColumns count="2">
    <tableColumn id="1" xr3:uid="{0DD7989F-1178-4406-9255-F098E6FF6878}" name="Pane" dataDxfId="108"/>
    <tableColumn id="2" xr3:uid="{6B085487-69EE-42E3-96CF-AEC9BE0B976E}" name="Cols" dataDxfId="107"/>
  </tableColumns>
  <tableStyleInfo name="Genera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4EB2574-5855-4163-9D03-75CAE04388F3}" name="MonsterFeature" displayName="MonsterFeature" ref="I1:O2" totalsRowShown="0" headerRowDxfId="102" dataDxfId="101">
  <autoFilter ref="I1:O2" xr:uid="{279AD88A-2E03-4D5D-966D-263F35AD5FA6}">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4D997-BB59-43DF-85E5-723B86C1B985}" name="Feature" dataDxfId="100"/>
    <tableColumn id="2" xr3:uid="{EEDF61F8-A02B-423F-8F1A-2001F9480228}" name="-" dataDxfId="99"/>
    <tableColumn id="3" xr3:uid="{7A3A1663-5B74-4297-AB68-04C140BCCF8F}" name="Description" dataDxfId="98"/>
    <tableColumn id="4" xr3:uid="{BE470CB1-653E-48F9-A40C-DEE8B1552AF8}" name="_" dataDxfId="97"/>
    <tableColumn id="5" xr3:uid="{3EC9F422-8E45-4A97-9DAF-5A36CD69873E}" name="__" dataDxfId="96"/>
    <tableColumn id="6" xr3:uid="{5CC9053B-F2A7-4A5D-A31E-80C2CE5E0C0A}" name="___" dataDxfId="95"/>
    <tableColumn id="7" xr3:uid="{3D98F5A0-3FB3-4DEA-AF5E-31F0A0E46952}" name="____" dataDxfId="94"/>
  </tableColumns>
  <tableStyleInfo name="General"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BC9F2-BB50-4966-A914-D42006E20487}" name="MonsterAction" displayName="MonsterAction" ref="Q2:S3" insertRow="1" totalsRowShown="0" headerRowDxfId="93" dataDxfId="92">
  <autoFilter ref="Q2:S3" xr:uid="{17729ABE-7A4D-46E9-997D-6BFB207F0144}">
    <filterColumn colId="0" hiddenButton="1"/>
    <filterColumn colId="1" hiddenButton="1"/>
    <filterColumn colId="2" hiddenButton="1"/>
  </autoFilter>
  <tableColumns count="3">
    <tableColumn id="1" xr3:uid="{53E1C60E-3DF9-446F-B957-D53C99B4FEF5}" name="Action" dataDxfId="91"/>
    <tableColumn id="2" xr3:uid="{8624A9FC-BF2C-48B8-9439-0CABB875C8EC}" name="Description" dataDxfId="90"/>
    <tableColumn id="3" xr3:uid="{DF20EFD0-2D6C-4F37-B60D-7C8C62D9DD53}" name="_" dataDxfId="89"/>
  </tableColumns>
  <tableStyleInfo name="General"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3B155EC-C1F0-4A54-B909-D83B98610C35}" name="MonsterSaves" displayName="MonsterSaves" ref="E3:G4" insertRow="1" totalsRowShown="0" headerRowDxfId="88" dataDxfId="87">
  <autoFilter ref="E3:G4" xr:uid="{5D7A1BF5-F4CF-4D19-8FC6-C48C5394895E}">
    <filterColumn colId="0" hiddenButton="1"/>
    <filterColumn colId="1" hiddenButton="1"/>
    <filterColumn colId="2" hiddenButton="1"/>
  </autoFilter>
  <tableColumns count="3">
    <tableColumn id="1" xr3:uid="{464ABE7C-1327-4FF7-8347-4A4E38DD3F6A}" name="Saving Throw" dataDxfId="86"/>
    <tableColumn id="2" xr3:uid="{4583E10F-FADF-4440-B729-99D51605FDE8}" name="Modifier" dataDxfId="85"/>
    <tableColumn id="3" xr3:uid="{666A0A0C-D99A-4EB0-A574-F53C9709B9A8}" name="_" dataDxfId="84"/>
  </tableColumns>
  <tableStyleInfo name="General"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107CB7D-6D6D-4133-8965-E716495FFCCB}" name="MonsterSkills" displayName="MonsterSkills" ref="E5:G6" totalsRowShown="0" headerRowDxfId="83" dataDxfId="82">
  <autoFilter ref="E5:G6" xr:uid="{F2E077C0-BCD0-4D5D-9056-A9380717ADFD}">
    <filterColumn colId="0" hiddenButton="1"/>
    <filterColumn colId="1" hiddenButton="1"/>
    <filterColumn colId="2" hiddenButton="1"/>
  </autoFilter>
  <tableColumns count="3">
    <tableColumn id="1" xr3:uid="{D3355AB7-6F5E-4709-9EB9-22FD4834FA6F}" name="Skill" dataDxfId="81"/>
    <tableColumn id="2" xr3:uid="{A9BD76C1-3081-478C-BCAC-0C67B77524EB}" name="Modifier" dataDxfId="80"/>
    <tableColumn id="3" xr3:uid="{4A921CFC-5844-475D-8270-A814A88321C7}" name="_" dataDxfId="79"/>
  </tableColumns>
  <tableStyleInfo name="General"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4E562DE-C466-4439-9F06-6871EF79257A}" name="MonsterReaction" displayName="MonsterReaction" ref="Q4:S5" insertRow="1" totalsRowShown="0" headerRowDxfId="78" dataDxfId="77">
  <autoFilter ref="Q4:S5" xr:uid="{6260E93A-0577-4045-AFBC-96E236789C05}">
    <filterColumn colId="0" hiddenButton="1"/>
    <filterColumn colId="1" hiddenButton="1"/>
    <filterColumn colId="2" hiddenButton="1"/>
  </autoFilter>
  <tableColumns count="3">
    <tableColumn id="1" xr3:uid="{B6DC45C5-1D23-48FB-BBF3-96C12A848351}" name="Reaction" dataDxfId="76"/>
    <tableColumn id="2" xr3:uid="{A03AB501-16FF-48AB-B3EC-A2694E653F44}" name="Description" dataDxfId="75"/>
    <tableColumn id="3" xr3:uid="{7D7040C7-6C80-4805-86DB-7A6A1D3A710F}" name="_" dataDxfId="74"/>
  </tableColumns>
  <tableStyleInfo name="General"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C746B04-E1F0-4F86-9723-F6495786BF4E}" name="MonsterBonusAction" displayName="MonsterBonusAction" ref="Q6:S7" insertRow="1" totalsRowShown="0" headerRowDxfId="73" dataDxfId="72">
  <autoFilter ref="Q6:S7" xr:uid="{DBD060CD-8244-4E26-8CC8-6F8C1265295E}">
    <filterColumn colId="0" hiddenButton="1"/>
    <filterColumn colId="1" hiddenButton="1"/>
    <filterColumn colId="2" hiddenButton="1"/>
  </autoFilter>
  <tableColumns count="3">
    <tableColumn id="1" xr3:uid="{F34BF8E9-1991-4263-BCE9-79BBB0A311B2}" name="Bonus Action" dataDxfId="71"/>
    <tableColumn id="2" xr3:uid="{F3CF0884-45AC-4FE1-95D5-0C89C3E7BC2C}" name="Description" dataDxfId="70"/>
    <tableColumn id="3" xr3:uid="{DDAB950F-7F75-4850-81E2-030578C17C39}" name="_" dataDxfId="69"/>
  </tableColumns>
  <tableStyleInfo name="General"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ABEB70B-8B5A-4E44-803F-26C739FC54EE}" name="Table17449119" displayName="Table17449119" ref="E7:G8" insertRow="1" totalsRowShown="0" headerRowDxfId="68" dataDxfId="67">
  <autoFilter ref="E7:G8" xr:uid="{699E1E15-49E3-4DF9-890A-38DE5EB53AF4}">
    <filterColumn colId="0" hiddenButton="1"/>
    <filterColumn colId="1" hiddenButton="1"/>
    <filterColumn colId="2" hiddenButton="1"/>
  </autoFilter>
  <tableColumns count="3">
    <tableColumn id="1" xr3:uid="{ECAF7B77-8B4C-434F-AF60-2F98C46AEBB8}" name="Passive" dataDxfId="66"/>
    <tableColumn id="2" xr3:uid="{B85BE596-4242-4916-8FBF-0183A33A38B5}" name="Skill" dataDxfId="65"/>
    <tableColumn id="3" xr3:uid="{64853FA3-0BEE-4574-BF93-28EF771A3780}" name="_" dataDxfId="64"/>
  </tableColumns>
  <tableStyleInfo name="General"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983723D-AD86-45E4-9218-F95D762A46AC}" name="MonsterConditions" displayName="MonsterConditions" ref="E14:G15" totalsRowShown="0" dataDxfId="63">
  <autoFilter ref="E14:G15" xr:uid="{8181D8EC-2663-41DD-8AFB-42F5A6994626}">
    <filterColumn colId="0" hiddenButton="1"/>
    <filterColumn colId="1" hiddenButton="1"/>
    <filterColumn colId="2" hiddenButton="1"/>
  </autoFilter>
  <tableColumns count="3">
    <tableColumn id="1" xr3:uid="{2F36FEE6-39A4-4ABD-BB38-E4DB9ED37C83}" name="Condition/Effect" dataDxfId="62"/>
    <tableColumn id="2" xr3:uid="{47BE87F1-FA0E-4BA6-ACCD-0CCC54C79A10}" name="Level" dataDxfId="61"/>
    <tableColumn id="3" xr3:uid="{D1606BF8-2DBB-490A-9347-64459E37656D}" name="Duration" dataDxfId="60"/>
  </tableColumns>
  <tableStyleInfo name="General"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94ED79D-1210-4352-BE6E-C558AD9BC96C}" name="MonsterSenses" displayName="MonsterSenses" ref="E1:G2" insertRow="1" totalsRowShown="0" headerRowDxfId="59" dataDxfId="58">
  <autoFilter ref="E1:G2" xr:uid="{60DC56B8-9126-4FF2-9105-5866C4705BCF}">
    <filterColumn colId="0" hiddenButton="1"/>
    <filterColumn colId="1" hiddenButton="1"/>
    <filterColumn colId="2" hiddenButton="1"/>
  </autoFilter>
  <tableColumns count="3">
    <tableColumn id="1" xr3:uid="{4FD0D278-CD68-48EC-9897-C17FFF44753C}" name="Senses" dataDxfId="57"/>
    <tableColumn id="2" xr3:uid="{C4B13075-8618-496B-B65F-0ADE176989DC}" name="Languages" dataDxfId="56"/>
    <tableColumn id="3" xr3:uid="{A70397CF-F6AA-4AAF-9C4A-E95E1B781F82}" name="_" dataDxfId="55"/>
  </tableColumns>
  <tableStyleInfo name="General"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A36DD26-7C12-4DAA-9D3F-5E999F599396}" name="MonsterCombat" displayName="MonsterCombat" ref="I5:O6" totalsRowShown="0" headerRowDxfId="54" dataDxfId="53">
  <autoFilter ref="I5:O6" xr:uid="{A7077F29-3FFF-4001-A02A-9D2613B872A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3099FB50-0739-410F-8E6A-A10EEACB6652}" name="Attack" dataDxfId="52"/>
    <tableColumn id="2" xr3:uid="{92051993-32CE-496C-8B5B-E3E00EB898BA}" name="Type" dataDxfId="51"/>
    <tableColumn id="3" xr3:uid="{319E645E-0548-479D-9792-BEFBF07984C1}" name="To Hit" dataDxfId="50"/>
    <tableColumn id="4" xr3:uid="{B5C4AE86-FAFF-470D-BC41-68352E60E6CC}" name="Damage" dataDxfId="49"/>
    <tableColumn id="5" xr3:uid="{0C06606C-C545-4CE4-836B-16C93844B926}" name="Damage Type" dataDxfId="48"/>
    <tableColumn id="6" xr3:uid="{5884CF90-CAF0-4563-A34E-692AC160806C}" name="Notes" dataDxfId="47"/>
    <tableColumn id="7" xr3:uid="{AC74F3DD-F09C-4088-9E39-D8726E761E79}" name="_" dataDxfId="46"/>
  </tableColumns>
  <tableStyleInfo name="General"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FAF0F5A-7F73-4D89-9439-4D858F539E0B}" name="Monster_Spells" displayName="Monster_Spells" ref="I9:O10" totalsRowShown="0" headerRowDxfId="45" dataDxfId="44">
  <autoFilter ref="I9:O10" xr:uid="{ADD85F2E-0EE5-4E14-B09B-3CF17597C684}">
    <filterColumn colId="0" hiddenButton="1"/>
    <filterColumn colId="1" hiddenButton="1"/>
    <filterColumn colId="2" hiddenButton="1"/>
    <filterColumn colId="3" hiddenButton="1"/>
    <filterColumn colId="4" hiddenButton="1"/>
    <filterColumn colId="5" hiddenButton="1"/>
    <filterColumn colId="6" hiddenButton="1"/>
  </autoFilter>
  <sortState xmlns:xlrd2="http://schemas.microsoft.com/office/spreadsheetml/2017/richdata2" ref="I10:O13">
    <sortCondition descending="1" ref="K9:K13"/>
  </sortState>
  <tableColumns count="7">
    <tableColumn id="1" xr3:uid="{E05406F1-163C-4442-B33C-F6CCD5B2A548}" name="Spell" dataDxfId="43"/>
    <tableColumn id="2" xr3:uid="{EB19E6DD-6B0A-462C-9A6C-6E2A777E48FF}" name="Level" dataDxfId="42"/>
    <tableColumn id="3" xr3:uid="{6A10C76D-71D5-442F-8350-0D2F5D1B4C30}" name="Time" dataDxfId="41"/>
    <tableColumn id="4" xr3:uid="{4B6426E0-D219-457B-A5E7-B7CB873B02F3}" name="Class" dataDxfId="40"/>
    <tableColumn id="5" xr3:uid="{170B043A-AC7B-426C-94D8-6B1AD6248DB9}" name="Damage" dataDxfId="39"/>
    <tableColumn id="6" xr3:uid="{1A0DB3BF-7FCB-41F7-AEF8-951CE1B3715A}" name="Save" dataDxfId="38"/>
    <tableColumn id="7" xr3:uid="{FAF93E82-B963-4B11-A653-E0FF60F00C77}" name="Link" dataDxfId="37"/>
  </tableColumns>
  <tableStyleInfo name="General"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0F1C1EF-DAF4-4E1B-811F-9954F805371C}" name="Monster_SC" displayName="Monster_SC" ref="I7:K8" totalsRowShown="0" headerRowDxfId="36" dataDxfId="35">
  <autoFilter ref="I7:K8" xr:uid="{16468785-3126-4322-8A7B-5ADCCC5F661F}">
    <filterColumn colId="0" hiddenButton="1"/>
    <filterColumn colId="1" hiddenButton="1"/>
    <filterColumn colId="2" hiddenButton="1"/>
  </autoFilter>
  <tableColumns count="3">
    <tableColumn id="1" xr3:uid="{E731E31A-B715-4B22-9876-E89056F74010}" name="Spell Attack" dataDxfId="34"/>
    <tableColumn id="2" xr3:uid="{BE95F186-F30E-416C-8DB4-B43CA2CA4D26}" name="Spell Save DC" dataDxfId="33"/>
    <tableColumn id="3" xr3:uid="{2A8D7730-CFB2-4E08-8914-552A4CBF64DD}" name="Ability" dataDxfId="32"/>
  </tableColumns>
  <tableStyleInfo name="General"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4DFDBB-7C8A-4867-AF4D-EDBF1C138580}" name="MonsterFreeAction" displayName="MonsterFreeAction" ref="Q8:S9" insertRow="1" totalsRowShown="0" headerRowDxfId="31" dataDxfId="30">
  <autoFilter ref="Q8:S9" xr:uid="{EAF37428-1E7C-4CEB-AD1A-7E066211F9FD}">
    <filterColumn colId="0" hiddenButton="1"/>
    <filterColumn colId="1" hiddenButton="1"/>
    <filterColumn colId="2" hiddenButton="1"/>
  </autoFilter>
  <tableColumns count="3">
    <tableColumn id="1" xr3:uid="{4D59EFDF-7A42-4822-B1A5-ED92A6B089DB}" name="Free Action" dataDxfId="29"/>
    <tableColumn id="2" xr3:uid="{9390BAF5-97F1-4B22-B7A6-E5149A0656D4}" name="Description" dataDxfId="28"/>
    <tableColumn id="3" xr3:uid="{89C61226-6579-412D-89BB-61CCC847F473}" name="_" dataDxfId="27"/>
  </tableColumns>
  <tableStyleInfo name="General"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666E7F4-FF9C-447D-A89B-880A9640E15C}" name="MonsterHPACSpeed" displayName="MonsterHPACSpeed" ref="A18:C19" totalsRowShown="0" headerRowDxfId="26" dataDxfId="25" tableBorderDxfId="24">
  <autoFilter ref="A18:C19" xr:uid="{67E2879E-BE8E-44FF-BDCE-327C9C0E14EB}">
    <filterColumn colId="0" hiddenButton="1"/>
    <filterColumn colId="1" hiddenButton="1"/>
    <filterColumn colId="2" hiddenButton="1"/>
  </autoFilter>
  <tableColumns count="3">
    <tableColumn id="1" xr3:uid="{19BCE859-FA11-48C0-8AB5-CB5215FABA47}" name="HP" dataDxfId="23" dataCellStyle="FirstRow"/>
    <tableColumn id="2" xr3:uid="{E5380C85-2611-4466-9FAC-65FDD6B3DCAA}" name="AC" dataDxfId="22"/>
    <tableColumn id="3" xr3:uid="{C0D3D369-FCBA-4240-8235-1CD19897D0A2}" name="Speed" dataDxfId="21"/>
  </tableColumns>
  <tableStyleInfo name="General"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C21CBE0A-EB09-46FC-A576-9671C465DD88}" name="MonsterDamageMods" displayName="MonsterDamageMods" ref="E9:G10" insertRow="1" totalsRowShown="0" headerRowDxfId="20" dataDxfId="19">
  <autoFilter ref="E9:G10" xr:uid="{01153CDF-0DD1-454A-8A92-BD30667B8B13}">
    <filterColumn colId="0" hiddenButton="1"/>
    <filterColumn colId="1" hiddenButton="1"/>
    <filterColumn colId="2" hiddenButton="1"/>
  </autoFilter>
  <tableColumns count="3">
    <tableColumn id="1" xr3:uid="{EE5E67BB-DEAA-47CF-927D-CCE653B9AE32}" name="Dmg Resist" dataDxfId="18"/>
    <tableColumn id="2" xr3:uid="{EDE16563-25A1-4006-900E-6430EF8638A8}" name="Immun" dataDxfId="17"/>
    <tableColumn id="3" xr3:uid="{0802DF39-4D3D-4C7D-B761-F605B41A80A1}" name="Vuln" dataDxfId="16"/>
  </tableColumns>
  <tableStyleInfo name="General"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E98D62-5FF3-48CE-8406-4A827C9DF83A}" name="MonsterSlots" displayName="MonsterSlots" ref="Q12:S13" totalsRowShown="0" headerRowDxfId="15" dataDxfId="14">
  <autoFilter ref="Q12:S13" xr:uid="{00E98D62-5FF3-48CE-8406-4A827C9DF83A}">
    <filterColumn colId="0" hiddenButton="1"/>
    <filterColumn colId="1" hiddenButton="1"/>
    <filterColumn colId="2" hiddenButton="1"/>
  </autoFilter>
  <tableColumns count="3">
    <tableColumn id="1" xr3:uid="{5EBE2AB5-A57B-4309-91C5-F844B3D327B6}" name="Level/Type" dataDxfId="13"/>
    <tableColumn id="2" xr3:uid="{C7C431CF-EABA-4256-871A-7D650037323D}" name="Slots" dataCellStyle="Normal Bold"/>
    <tableColumn id="3" xr3:uid="{1886F3F1-F495-44DE-A284-DD4F1AB4FC06}" name="Max Slots" dataDxfId="12"/>
  </tableColumns>
  <tableStyleInfo name="General"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1552C98-4D2D-459E-8633-A439D20DDEC1}" name="MonsterCharges" displayName="MonsterCharges" ref="Q16:S17" totalsRowShown="0" headerRowDxfId="11" dataDxfId="10">
  <autoFilter ref="Q16:S17" xr:uid="{71552C98-4D2D-459E-8633-A439D20DDEC1}">
    <filterColumn colId="0" hiddenButton="1"/>
    <filterColumn colId="1" hiddenButton="1"/>
    <filterColumn colId="2" hiddenButton="1"/>
  </autoFilter>
  <tableColumns count="3">
    <tableColumn id="1" xr3:uid="{E1D2FE96-AD1E-41E4-848A-1E4A1CAA79BB}" name="Item" dataDxfId="9"/>
    <tableColumn id="2" xr3:uid="{8A1652CC-0EE7-456A-934A-F9323E83A2EA}" name="Charges" dataDxfId="8"/>
    <tableColumn id="3" xr3:uid="{17D5CE2A-6D74-488A-A18C-9DF29245ECA7}" name="Max Charges" dataDxfId="7"/>
  </tableColumns>
  <tableStyleInfo name="General"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2BC1CDA2-BF0E-4BDB-A4FA-7242019E1225}" name="MonsterHPMax" displayName="MonsterHPMax" ref="A20:A21" totalsRowShown="0" headerRowDxfId="6" dataDxfId="4" headerRowBorderDxfId="5" headerRowCellStyle="Header" dataCellStyle="FirstRow">
  <autoFilter ref="A20:A21" xr:uid="{2BC1CDA2-BF0E-4BDB-A4FA-7242019E1225}">
    <filterColumn colId="0" hiddenButton="1"/>
  </autoFilter>
  <tableColumns count="1">
    <tableColumn id="1" xr3:uid="{E7F55D4A-4974-4EB6-9B27-DE2EBB3D0718}" name="HP Max" dataDxfId="3" dataCellStyle="FirstRow"/>
  </tableColumns>
  <tableStyleInfo name="General"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1AC719C-27E9-4751-9F92-C33D7D92E14C}" name="Table44" displayName="Table44" ref="Q20:S21" totalsRowShown="0">
  <autoFilter ref="Q20:S21" xr:uid="{11AC719C-27E9-4751-9F92-C33D7D92E14C}">
    <filterColumn colId="0" hiddenButton="1"/>
    <filterColumn colId="1" hiddenButton="1"/>
    <filterColumn colId="2" hiddenButton="1"/>
  </autoFilter>
  <tableColumns count="3">
    <tableColumn id="1" xr3:uid="{E2B03F39-783D-43E2-B98C-C4A4AAC107D5}" name="Spell" dataDxfId="2"/>
    <tableColumn id="2" xr3:uid="{533BEB80-4347-4248-8F51-AD35D83C91C6}" name="Level" dataDxfId="1"/>
    <tableColumn id="3" xr3:uid="{CAC4FDBF-5500-437A-99DF-3B0E9BC7B35B}" name="Details" dataDxfId="0"/>
  </tableColumns>
  <tableStyleInfo name="General"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 Type="http://schemas.openxmlformats.org/officeDocument/2006/relationships/drawing" Target="../drawings/drawing1.xml"/><Relationship Id="rId21" Type="http://schemas.openxmlformats.org/officeDocument/2006/relationships/table" Target="../tables/table18.xml"/><Relationship Id="rId7" Type="http://schemas.openxmlformats.org/officeDocument/2006/relationships/table" Target="../tables/table4.x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33" Type="http://schemas.openxmlformats.org/officeDocument/2006/relationships/table" Target="../tables/table30.xml"/><Relationship Id="rId2" Type="http://schemas.openxmlformats.org/officeDocument/2006/relationships/printerSettings" Target="../printerSettings/printerSettings1.bin"/><Relationship Id="rId16" Type="http://schemas.openxmlformats.org/officeDocument/2006/relationships/table" Target="../tables/table13.xml"/><Relationship Id="rId20" Type="http://schemas.openxmlformats.org/officeDocument/2006/relationships/table" Target="../tables/table17.xml"/><Relationship Id="rId29" Type="http://schemas.openxmlformats.org/officeDocument/2006/relationships/table" Target="../tables/table26.xml"/><Relationship Id="rId1" Type="http://schemas.openxmlformats.org/officeDocument/2006/relationships/hyperlink" Target="https://roll20.net/compendium/dnd5e/Conditions" TargetMode="External"/><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32" Type="http://schemas.openxmlformats.org/officeDocument/2006/relationships/table" Target="../tables/table29.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28" Type="http://schemas.openxmlformats.org/officeDocument/2006/relationships/table" Target="../tables/table25.xml"/><Relationship Id="rId10" Type="http://schemas.openxmlformats.org/officeDocument/2006/relationships/table" Target="../tables/table7.xml"/><Relationship Id="rId19" Type="http://schemas.openxmlformats.org/officeDocument/2006/relationships/table" Target="../tables/table16.xml"/><Relationship Id="rId31" Type="http://schemas.openxmlformats.org/officeDocument/2006/relationships/table" Target="../tables/table28.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table" Target="../tables/table24.xml"/><Relationship Id="rId30" Type="http://schemas.openxmlformats.org/officeDocument/2006/relationships/table" Target="../tables/table27.xml"/><Relationship Id="rId8"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1.vml"/><Relationship Id="rId7" Type="http://schemas.openxmlformats.org/officeDocument/2006/relationships/table" Target="../tables/table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1.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3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4.xml"/><Relationship Id="rId5" Type="http://schemas.openxmlformats.org/officeDocument/2006/relationships/table" Target="../tables/table38.xml"/><Relationship Id="rId4" Type="http://schemas.openxmlformats.org/officeDocument/2006/relationships/table" Target="../tables/table3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3.xml"/><Relationship Id="rId13" Type="http://schemas.openxmlformats.org/officeDocument/2006/relationships/table" Target="../tables/table48.xml"/><Relationship Id="rId18" Type="http://schemas.openxmlformats.org/officeDocument/2006/relationships/table" Target="../tables/table53.xml"/><Relationship Id="rId3" Type="http://schemas.openxmlformats.org/officeDocument/2006/relationships/drawing" Target="../drawings/drawing5.xml"/><Relationship Id="rId21" Type="http://schemas.openxmlformats.org/officeDocument/2006/relationships/table" Target="../tables/table56.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 Type="http://schemas.openxmlformats.org/officeDocument/2006/relationships/printerSettings" Target="../printerSettings/printerSettings4.bin"/><Relationship Id="rId16" Type="http://schemas.openxmlformats.org/officeDocument/2006/relationships/table" Target="../tables/table51.xml"/><Relationship Id="rId20" Type="http://schemas.openxmlformats.org/officeDocument/2006/relationships/table" Target="../tables/table55.xml"/><Relationship Id="rId1" Type="http://schemas.openxmlformats.org/officeDocument/2006/relationships/hyperlink" Target="https://roll20.net/compendium/dnd5e/Conditions" TargetMode="External"/><Relationship Id="rId6" Type="http://schemas.openxmlformats.org/officeDocument/2006/relationships/table" Target="../tables/table41.xml"/><Relationship Id="rId11" Type="http://schemas.openxmlformats.org/officeDocument/2006/relationships/table" Target="../tables/table46.xml"/><Relationship Id="rId5" Type="http://schemas.openxmlformats.org/officeDocument/2006/relationships/table" Target="../tables/table40.xml"/><Relationship Id="rId15" Type="http://schemas.openxmlformats.org/officeDocument/2006/relationships/table" Target="../tables/table50.xml"/><Relationship Id="rId10" Type="http://schemas.openxmlformats.org/officeDocument/2006/relationships/table" Target="../tables/table45.xml"/><Relationship Id="rId19" Type="http://schemas.openxmlformats.org/officeDocument/2006/relationships/table" Target="../tables/table54.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BA82B-50E9-44AD-A892-C91F5CC0DD16}">
  <sheetPr codeName="PC"/>
  <dimension ref="A1:AQ138"/>
  <sheetViews>
    <sheetView showGridLines="0" showRowColHeaders="0" tabSelected="1" zoomScaleNormal="100" workbookViewId="0"/>
  </sheetViews>
  <sheetFormatPr defaultColWidth="8.85546875" defaultRowHeight="15" x14ac:dyDescent="0.25"/>
  <cols>
    <col min="1" max="3" width="8.7109375" customWidth="1"/>
    <col min="4" max="4" width="2.28515625" style="8" customWidth="1"/>
    <col min="5" max="5" width="17.7109375" customWidth="1"/>
    <col min="6" max="7" width="9.28515625" customWidth="1"/>
    <col min="8" max="8" width="2.28515625" style="8" customWidth="1"/>
    <col min="9" max="13" width="15.7109375" customWidth="1"/>
    <col min="14" max="15" width="10.7109375" customWidth="1"/>
    <col min="16" max="16" width="2.28515625" style="8" customWidth="1"/>
    <col min="17" max="17" width="15.7109375" customWidth="1"/>
    <col min="18" max="19" width="13.7109375" customWidth="1"/>
    <col min="20" max="20" width="2.28515625" style="8" customWidth="1"/>
    <col min="21" max="21" width="23.28515625" customWidth="1"/>
    <col min="22" max="30" width="16.7109375" hidden="1" customWidth="1"/>
    <col min="31" max="31" width="3.5703125" hidden="1" customWidth="1"/>
    <col min="32" max="39" width="16.7109375" hidden="1" customWidth="1"/>
    <col min="40" max="40" width="3.42578125" hidden="1" customWidth="1"/>
    <col min="41" max="42" width="16.7109375" hidden="1" customWidth="1"/>
    <col min="43" max="43" width="2.28515625" style="8" customWidth="1"/>
    <col min="44" max="46" width="12" customWidth="1"/>
  </cols>
  <sheetData>
    <row r="1" spans="1:43" x14ac:dyDescent="0.25">
      <c r="E1" t="s">
        <v>27</v>
      </c>
      <c r="F1" t="s">
        <v>26</v>
      </c>
      <c r="G1" s="41" t="s">
        <v>411</v>
      </c>
      <c r="H1" s="8" t="s">
        <v>54</v>
      </c>
      <c r="I1" t="s">
        <v>50</v>
      </c>
      <c r="J1" t="s">
        <v>20</v>
      </c>
      <c r="K1" t="s">
        <v>28</v>
      </c>
      <c r="L1" s="41" t="s">
        <v>411</v>
      </c>
      <c r="M1" s="41" t="s">
        <v>412</v>
      </c>
      <c r="N1" s="41" t="s">
        <v>413</v>
      </c>
      <c r="O1" s="41" t="s">
        <v>414</v>
      </c>
      <c r="P1" s="8" t="s">
        <v>54</v>
      </c>
      <c r="Q1" s="42" t="s">
        <v>1006</v>
      </c>
      <c r="T1" s="8" t="s">
        <v>54</v>
      </c>
      <c r="U1" s="42" t="s">
        <v>1031</v>
      </c>
      <c r="V1" t="s">
        <v>75</v>
      </c>
      <c r="W1" t="s">
        <v>76</v>
      </c>
      <c r="X1" t="s">
        <v>77</v>
      </c>
      <c r="Y1" t="s">
        <v>78</v>
      </c>
      <c r="AA1" t="s">
        <v>881</v>
      </c>
      <c r="AB1" t="s">
        <v>882</v>
      </c>
      <c r="AF1" t="s">
        <v>422</v>
      </c>
      <c r="AO1" t="s">
        <v>802</v>
      </c>
      <c r="AP1" t="s">
        <v>803</v>
      </c>
      <c r="AQ1" s="8" t="s">
        <v>54</v>
      </c>
    </row>
    <row r="2" spans="1:43" x14ac:dyDescent="0.25">
      <c r="D2" s="8" t="s">
        <v>54</v>
      </c>
      <c r="H2" s="8" t="s">
        <v>54</v>
      </c>
      <c r="P2" s="8" t="s">
        <v>54</v>
      </c>
      <c r="Q2" t="s">
        <v>18</v>
      </c>
      <c r="R2" t="s">
        <v>28</v>
      </c>
      <c r="S2" s="41" t="s">
        <v>411</v>
      </c>
      <c r="T2" s="8" t="s">
        <v>54</v>
      </c>
      <c r="V2">
        <v>1</v>
      </c>
      <c r="W2">
        <v>1</v>
      </c>
      <c r="X2">
        <v>20</v>
      </c>
      <c r="Y2">
        <v>0</v>
      </c>
      <c r="AA2">
        <v>1</v>
      </c>
      <c r="AB2" t="s">
        <v>883</v>
      </c>
      <c r="AF2" t="s">
        <v>417</v>
      </c>
      <c r="AG2" t="s">
        <v>418</v>
      </c>
      <c r="AH2" t="s">
        <v>423</v>
      </c>
      <c r="AI2" t="s">
        <v>420</v>
      </c>
      <c r="AJ2" t="s">
        <v>428</v>
      </c>
      <c r="AK2" t="s">
        <v>427</v>
      </c>
      <c r="AL2" t="s">
        <v>430</v>
      </c>
      <c r="AM2" t="s">
        <v>429</v>
      </c>
      <c r="AO2" t="s">
        <v>1072</v>
      </c>
      <c r="AP2" t="s">
        <v>1073</v>
      </c>
      <c r="AQ2" s="8" t="s">
        <v>54</v>
      </c>
    </row>
    <row r="3" spans="1:43" x14ac:dyDescent="0.25">
      <c r="D3" s="8" t="s">
        <v>54</v>
      </c>
      <c r="E3" t="s">
        <v>94</v>
      </c>
      <c r="F3" s="41" t="s">
        <v>411</v>
      </c>
      <c r="G3" s="41" t="s">
        <v>884</v>
      </c>
      <c r="H3" s="8" t="s">
        <v>54</v>
      </c>
      <c r="P3" s="8" t="s">
        <v>54</v>
      </c>
      <c r="T3" s="8" t="s">
        <v>54</v>
      </c>
      <c r="AA3">
        <v>2</v>
      </c>
      <c r="AB3" t="s">
        <v>888</v>
      </c>
      <c r="AF3" t="s">
        <v>415</v>
      </c>
      <c r="AG3" t="s">
        <v>446</v>
      </c>
      <c r="AH3" t="s">
        <v>447</v>
      </c>
      <c r="AI3" t="s">
        <v>439</v>
      </c>
      <c r="AJ3" t="s">
        <v>448</v>
      </c>
      <c r="AK3" t="s">
        <v>439</v>
      </c>
      <c r="AL3" t="s">
        <v>449</v>
      </c>
      <c r="AM3" t="s">
        <v>439</v>
      </c>
      <c r="AO3" t="s">
        <v>1030</v>
      </c>
      <c r="AQ3" s="8" t="s">
        <v>54</v>
      </c>
    </row>
    <row r="4" spans="1:43" x14ac:dyDescent="0.25">
      <c r="D4" s="8" t="s">
        <v>54</v>
      </c>
      <c r="H4" s="8" t="s">
        <v>54</v>
      </c>
      <c r="I4" s="42" t="s">
        <v>92</v>
      </c>
      <c r="P4" s="8" t="s">
        <v>54</v>
      </c>
      <c r="Q4" t="s">
        <v>23</v>
      </c>
      <c r="R4" t="s">
        <v>28</v>
      </c>
      <c r="S4" s="41" t="s">
        <v>411</v>
      </c>
      <c r="T4" s="8" t="s">
        <v>54</v>
      </c>
      <c r="AA4">
        <v>3</v>
      </c>
      <c r="AB4" t="s">
        <v>889</v>
      </c>
      <c r="AF4" t="s">
        <v>415</v>
      </c>
      <c r="AG4" t="s">
        <v>450</v>
      </c>
      <c r="AH4" t="s">
        <v>438</v>
      </c>
      <c r="AI4" t="s">
        <v>439</v>
      </c>
      <c r="AJ4" t="s">
        <v>437</v>
      </c>
      <c r="AK4" t="s">
        <v>439</v>
      </c>
      <c r="AL4" t="s">
        <v>451</v>
      </c>
      <c r="AM4" t="s">
        <v>439</v>
      </c>
      <c r="AO4" t="s">
        <v>987</v>
      </c>
      <c r="AP4">
        <v>0</v>
      </c>
      <c r="AQ4" s="8" t="s">
        <v>54</v>
      </c>
    </row>
    <row r="5" spans="1:43" x14ac:dyDescent="0.25">
      <c r="D5" s="8" t="s">
        <v>54</v>
      </c>
      <c r="E5" t="s">
        <v>93</v>
      </c>
      <c r="F5" t="s">
        <v>48</v>
      </c>
      <c r="G5" s="41" t="s">
        <v>411</v>
      </c>
      <c r="H5" s="8" t="s">
        <v>54</v>
      </c>
      <c r="I5" t="s">
        <v>38</v>
      </c>
      <c r="J5" t="s">
        <v>39</v>
      </c>
      <c r="K5" t="s">
        <v>40</v>
      </c>
      <c r="L5" t="s">
        <v>7</v>
      </c>
      <c r="M5" t="s">
        <v>41</v>
      </c>
      <c r="N5" t="s">
        <v>59</v>
      </c>
      <c r="O5" s="46" t="s">
        <v>411</v>
      </c>
      <c r="P5" s="8" t="s">
        <v>54</v>
      </c>
      <c r="T5" s="8" t="s">
        <v>54</v>
      </c>
      <c r="AA5">
        <v>4</v>
      </c>
      <c r="AB5" t="s">
        <v>890</v>
      </c>
      <c r="AF5" t="s">
        <v>416</v>
      </c>
      <c r="AG5" t="s">
        <v>446</v>
      </c>
      <c r="AH5" t="s">
        <v>447</v>
      </c>
      <c r="AI5" t="s">
        <v>439</v>
      </c>
      <c r="AJ5" t="s">
        <v>456</v>
      </c>
      <c r="AK5" t="s">
        <v>439</v>
      </c>
      <c r="AL5" t="s">
        <v>458</v>
      </c>
      <c r="AM5" t="s">
        <v>439</v>
      </c>
      <c r="AO5" t="s">
        <v>986</v>
      </c>
      <c r="AP5">
        <v>0</v>
      </c>
      <c r="AQ5" s="8" t="s">
        <v>54</v>
      </c>
    </row>
    <row r="6" spans="1:43" x14ac:dyDescent="0.25">
      <c r="D6" s="8" t="s">
        <v>54</v>
      </c>
      <c r="H6" s="8" t="s">
        <v>54</v>
      </c>
      <c r="P6" s="8" t="s">
        <v>54</v>
      </c>
      <c r="Q6" t="s">
        <v>24</v>
      </c>
      <c r="R6" t="s">
        <v>28</v>
      </c>
      <c r="S6" s="41" t="s">
        <v>411</v>
      </c>
      <c r="T6" s="8" t="s">
        <v>54</v>
      </c>
      <c r="U6" s="42" t="s">
        <v>1032</v>
      </c>
      <c r="AA6">
        <v>5</v>
      </c>
      <c r="AB6" t="s">
        <v>891</v>
      </c>
      <c r="AF6" t="s">
        <v>416</v>
      </c>
      <c r="AG6" t="s">
        <v>450</v>
      </c>
      <c r="AH6" t="s">
        <v>447</v>
      </c>
      <c r="AI6" t="s">
        <v>439</v>
      </c>
      <c r="AJ6" t="s">
        <v>459</v>
      </c>
      <c r="AK6" t="s">
        <v>439</v>
      </c>
      <c r="AL6" t="s">
        <v>456</v>
      </c>
      <c r="AM6" t="s">
        <v>439</v>
      </c>
      <c r="AO6" t="s">
        <v>985</v>
      </c>
      <c r="AP6">
        <v>0</v>
      </c>
      <c r="AQ6" s="8" t="s">
        <v>54</v>
      </c>
    </row>
    <row r="7" spans="1:43" x14ac:dyDescent="0.25">
      <c r="D7" s="8" t="s">
        <v>54</v>
      </c>
      <c r="E7" t="s">
        <v>53</v>
      </c>
      <c r="F7" t="s">
        <v>48</v>
      </c>
      <c r="G7" s="41" t="s">
        <v>411</v>
      </c>
      <c r="H7" s="8" t="s">
        <v>54</v>
      </c>
      <c r="I7" t="s">
        <v>12</v>
      </c>
      <c r="J7" t="s">
        <v>11</v>
      </c>
      <c r="K7" t="s">
        <v>13</v>
      </c>
      <c r="P7" s="8" t="s">
        <v>54</v>
      </c>
      <c r="T7" s="8" t="s">
        <v>54</v>
      </c>
      <c r="AF7" t="s">
        <v>460</v>
      </c>
      <c r="AG7" t="s">
        <v>446</v>
      </c>
      <c r="AH7" t="s">
        <v>464</v>
      </c>
      <c r="AI7" t="s">
        <v>439</v>
      </c>
      <c r="AJ7" t="s">
        <v>465</v>
      </c>
      <c r="AK7" t="s">
        <v>447</v>
      </c>
      <c r="AL7" t="s">
        <v>466</v>
      </c>
      <c r="AM7" t="s">
        <v>447</v>
      </c>
      <c r="AO7" t="s">
        <v>916</v>
      </c>
      <c r="AP7" t="s">
        <v>1075</v>
      </c>
      <c r="AQ7" s="8" t="s">
        <v>54</v>
      </c>
    </row>
    <row r="8" spans="1:43" x14ac:dyDescent="0.25">
      <c r="D8" s="8" t="s">
        <v>54</v>
      </c>
      <c r="H8" s="8" t="s">
        <v>54</v>
      </c>
      <c r="P8" s="8" t="s">
        <v>54</v>
      </c>
      <c r="Q8" t="s">
        <v>81</v>
      </c>
      <c r="R8" t="s">
        <v>28</v>
      </c>
      <c r="S8" s="41" t="s">
        <v>411</v>
      </c>
      <c r="T8" s="8" t="s">
        <v>54</v>
      </c>
      <c r="AF8" t="s">
        <v>460</v>
      </c>
      <c r="AG8" t="s">
        <v>450</v>
      </c>
      <c r="AH8" t="s">
        <v>464</v>
      </c>
      <c r="AI8" t="s">
        <v>439</v>
      </c>
      <c r="AJ8" s="40" t="s">
        <v>462</v>
      </c>
      <c r="AK8" t="s">
        <v>447</v>
      </c>
      <c r="AL8" t="s">
        <v>465</v>
      </c>
      <c r="AM8" t="s">
        <v>447</v>
      </c>
      <c r="AO8" t="s">
        <v>894</v>
      </c>
      <c r="AP8">
        <v>0</v>
      </c>
      <c r="AQ8" s="8" t="s">
        <v>54</v>
      </c>
    </row>
    <row r="9" spans="1:43" x14ac:dyDescent="0.25">
      <c r="A9" s="1" t="s">
        <v>1000</v>
      </c>
      <c r="B9" s="1"/>
      <c r="C9" s="1"/>
      <c r="E9" t="s">
        <v>885</v>
      </c>
      <c r="F9" t="s">
        <v>886</v>
      </c>
      <c r="G9" t="s">
        <v>887</v>
      </c>
      <c r="H9" s="8" t="s">
        <v>54</v>
      </c>
      <c r="P9" s="8" t="s">
        <v>54</v>
      </c>
      <c r="T9" s="8" t="s">
        <v>54</v>
      </c>
      <c r="X9" t="s">
        <v>421</v>
      </c>
      <c r="AF9" t="s">
        <v>486</v>
      </c>
      <c r="AG9" t="s">
        <v>446</v>
      </c>
      <c r="AH9" t="s">
        <v>474</v>
      </c>
      <c r="AI9" t="s">
        <v>447</v>
      </c>
      <c r="AJ9" t="s">
        <v>477</v>
      </c>
      <c r="AK9" t="s">
        <v>447</v>
      </c>
      <c r="AL9" t="s">
        <v>478</v>
      </c>
      <c r="AM9" t="s">
        <v>447</v>
      </c>
      <c r="AO9" t="s">
        <v>893</v>
      </c>
      <c r="AP9">
        <v>0</v>
      </c>
      <c r="AQ9" s="8" t="s">
        <v>54</v>
      </c>
    </row>
    <row r="10" spans="1:43" x14ac:dyDescent="0.25">
      <c r="A10" s="6" t="s">
        <v>29</v>
      </c>
      <c r="B10" s="17">
        <v>10</v>
      </c>
      <c r="C10" s="50">
        <f t="shared" ref="C10:C15" si="0">ROUNDDOWN((B10-10)/2, 0)+IF(AND(B10&lt;10,MOD(B10,2)=1),-1,0)</f>
        <v>0</v>
      </c>
      <c r="D10" s="8" t="s">
        <v>54</v>
      </c>
      <c r="H10" s="8" t="s">
        <v>54</v>
      </c>
      <c r="I10" s="42" t="s">
        <v>46</v>
      </c>
      <c r="P10" s="8" t="s">
        <v>54</v>
      </c>
      <c r="T10" s="8" t="s">
        <v>54</v>
      </c>
      <c r="V10" t="s">
        <v>454</v>
      </c>
      <c r="X10" t="s">
        <v>417</v>
      </c>
      <c r="Y10" t="s">
        <v>418</v>
      </c>
      <c r="Z10" t="s">
        <v>424</v>
      </c>
      <c r="AA10" t="s">
        <v>440</v>
      </c>
      <c r="AB10" t="s">
        <v>425</v>
      </c>
      <c r="AC10" t="s">
        <v>426</v>
      </c>
      <c r="AD10" t="s">
        <v>419</v>
      </c>
      <c r="AF10" t="s">
        <v>486</v>
      </c>
      <c r="AG10" t="s">
        <v>450</v>
      </c>
      <c r="AH10" s="40" t="s">
        <v>475</v>
      </c>
      <c r="AI10" t="s">
        <v>447</v>
      </c>
      <c r="AJ10" s="40" t="s">
        <v>1008</v>
      </c>
      <c r="AK10" t="s">
        <v>447</v>
      </c>
      <c r="AL10" t="s">
        <v>1009</v>
      </c>
      <c r="AM10" t="s">
        <v>447</v>
      </c>
      <c r="AO10" t="s">
        <v>805</v>
      </c>
      <c r="AP10" t="s">
        <v>304</v>
      </c>
      <c r="AQ10" s="8" t="s">
        <v>54</v>
      </c>
    </row>
    <row r="11" spans="1:43" x14ac:dyDescent="0.25">
      <c r="A11" s="6" t="s">
        <v>30</v>
      </c>
      <c r="B11" s="17">
        <v>10</v>
      </c>
      <c r="C11" s="50">
        <f t="shared" si="0"/>
        <v>0</v>
      </c>
      <c r="D11" s="8" t="s">
        <v>54</v>
      </c>
      <c r="H11" s="8" t="s">
        <v>54</v>
      </c>
      <c r="I11" s="9" t="s">
        <v>86</v>
      </c>
      <c r="J11" s="9" t="s">
        <v>87</v>
      </c>
      <c r="K11" s="9" t="s">
        <v>89</v>
      </c>
      <c r="L11" s="9" t="s">
        <v>88</v>
      </c>
      <c r="M11" s="9" t="s">
        <v>90</v>
      </c>
      <c r="P11" s="8" t="s">
        <v>54</v>
      </c>
      <c r="Q11" s="42" t="s">
        <v>42</v>
      </c>
      <c r="T11" s="8" t="s">
        <v>54</v>
      </c>
      <c r="V11" t="s">
        <v>415</v>
      </c>
      <c r="X11" t="s">
        <v>415</v>
      </c>
      <c r="Y11" t="s">
        <v>433</v>
      </c>
      <c r="Z11" t="s">
        <v>435</v>
      </c>
      <c r="AA11" t="s">
        <v>439</v>
      </c>
      <c r="AC11">
        <v>14</v>
      </c>
      <c r="AD11" t="s">
        <v>436</v>
      </c>
      <c r="AF11" t="s">
        <v>479</v>
      </c>
      <c r="AG11" t="s">
        <v>446</v>
      </c>
      <c r="AH11" t="s">
        <v>481</v>
      </c>
      <c r="AI11" t="s">
        <v>439</v>
      </c>
      <c r="AJ11" t="s">
        <v>482</v>
      </c>
      <c r="AK11" t="s">
        <v>447</v>
      </c>
      <c r="AL11" t="s">
        <v>483</v>
      </c>
      <c r="AM11" t="s">
        <v>447</v>
      </c>
      <c r="AO11" t="s">
        <v>806</v>
      </c>
      <c r="AP11" t="s">
        <v>304</v>
      </c>
      <c r="AQ11" s="8" t="s">
        <v>54</v>
      </c>
    </row>
    <row r="12" spans="1:43" x14ac:dyDescent="0.25">
      <c r="A12" s="6" t="s">
        <v>31</v>
      </c>
      <c r="B12" s="17">
        <v>10</v>
      </c>
      <c r="C12" s="50">
        <f t="shared" si="0"/>
        <v>0</v>
      </c>
      <c r="D12" s="8" t="s">
        <v>54</v>
      </c>
      <c r="E12" s="42" t="s">
        <v>988</v>
      </c>
      <c r="H12" s="8" t="s">
        <v>54</v>
      </c>
      <c r="I12" s="5"/>
      <c r="J12" s="5"/>
      <c r="K12" s="5"/>
      <c r="L12" s="5"/>
      <c r="M12" s="5"/>
      <c r="P12" s="8" t="s">
        <v>54</v>
      </c>
      <c r="Q12" t="s">
        <v>487</v>
      </c>
      <c r="R12" t="s">
        <v>42</v>
      </c>
      <c r="S12" t="s">
        <v>82</v>
      </c>
      <c r="T12" s="8" t="s">
        <v>54</v>
      </c>
      <c r="V12" t="s">
        <v>416</v>
      </c>
      <c r="X12" t="s">
        <v>415</v>
      </c>
      <c r="Y12" t="s">
        <v>434</v>
      </c>
      <c r="Z12" s="40" t="s">
        <v>437</v>
      </c>
      <c r="AA12" t="s">
        <v>439</v>
      </c>
      <c r="AF12" t="s">
        <v>479</v>
      </c>
      <c r="AG12" t="s">
        <v>450</v>
      </c>
      <c r="AH12" t="s">
        <v>480</v>
      </c>
      <c r="AI12" t="s">
        <v>439</v>
      </c>
      <c r="AJ12" s="40" t="s">
        <v>484</v>
      </c>
      <c r="AK12" t="s">
        <v>447</v>
      </c>
      <c r="AL12" t="s">
        <v>485</v>
      </c>
      <c r="AM12" t="s">
        <v>447</v>
      </c>
      <c r="AO12" t="s">
        <v>804</v>
      </c>
      <c r="AP12" t="s">
        <v>416</v>
      </c>
      <c r="AQ12" s="8" t="s">
        <v>54</v>
      </c>
    </row>
    <row r="13" spans="1:43" x14ac:dyDescent="0.25">
      <c r="A13" s="6" t="s">
        <v>32</v>
      </c>
      <c r="B13" s="17">
        <v>10</v>
      </c>
      <c r="C13" s="50">
        <f t="shared" si="0"/>
        <v>0</v>
      </c>
      <c r="D13" s="8" t="s">
        <v>54</v>
      </c>
      <c r="H13" s="8" t="s">
        <v>54</v>
      </c>
      <c r="I13" t="s">
        <v>91</v>
      </c>
      <c r="J13" s="41" t="s">
        <v>80</v>
      </c>
      <c r="K13" t="s">
        <v>103</v>
      </c>
      <c r="L13" t="s">
        <v>28</v>
      </c>
      <c r="M13" s="41" t="s">
        <v>411</v>
      </c>
      <c r="N13" s="41" t="s">
        <v>412</v>
      </c>
      <c r="O13" s="41" t="s">
        <v>413</v>
      </c>
      <c r="P13" s="8" t="s">
        <v>54</v>
      </c>
      <c r="R13" s="43"/>
      <c r="T13" s="8" t="s">
        <v>54</v>
      </c>
      <c r="V13" t="s">
        <v>460</v>
      </c>
      <c r="X13" t="s">
        <v>415</v>
      </c>
      <c r="Y13" t="s">
        <v>423</v>
      </c>
      <c r="Z13" t="s">
        <v>438</v>
      </c>
      <c r="AA13" t="s">
        <v>439</v>
      </c>
      <c r="AB13" t="s">
        <v>439</v>
      </c>
      <c r="AF13" t="s">
        <v>791</v>
      </c>
      <c r="AG13" t="s">
        <v>446</v>
      </c>
      <c r="AH13" t="s">
        <v>793</v>
      </c>
      <c r="AI13" t="s">
        <v>439</v>
      </c>
      <c r="AJ13" t="s">
        <v>795</v>
      </c>
      <c r="AK13" t="s">
        <v>439</v>
      </c>
      <c r="AL13" t="s">
        <v>798</v>
      </c>
      <c r="AM13" t="s">
        <v>439</v>
      </c>
      <c r="AO13" t="s">
        <v>892</v>
      </c>
      <c r="AP13">
        <v>0</v>
      </c>
      <c r="AQ13" s="8" t="s">
        <v>54</v>
      </c>
    </row>
    <row r="14" spans="1:43" x14ac:dyDescent="0.25">
      <c r="A14" s="6" t="s">
        <v>33</v>
      </c>
      <c r="B14" s="17">
        <v>10</v>
      </c>
      <c r="C14" s="50">
        <f t="shared" si="0"/>
        <v>0</v>
      </c>
      <c r="D14" s="8" t="s">
        <v>54</v>
      </c>
      <c r="E14" t="s">
        <v>880</v>
      </c>
      <c r="F14" t="s">
        <v>4</v>
      </c>
      <c r="G14" t="s">
        <v>3</v>
      </c>
      <c r="H14" s="8" t="s">
        <v>54</v>
      </c>
      <c r="P14" s="8" t="s">
        <v>54</v>
      </c>
      <c r="T14" s="8" t="s">
        <v>54</v>
      </c>
      <c r="V14" t="s">
        <v>486</v>
      </c>
      <c r="X14" t="s">
        <v>415</v>
      </c>
      <c r="Y14" t="s">
        <v>441</v>
      </c>
      <c r="Z14" t="s">
        <v>438</v>
      </c>
      <c r="AA14" t="s">
        <v>439</v>
      </c>
      <c r="AB14" t="s">
        <v>439</v>
      </c>
      <c r="AF14" t="s">
        <v>791</v>
      </c>
      <c r="AG14" t="s">
        <v>450</v>
      </c>
      <c r="AH14" t="s">
        <v>793</v>
      </c>
      <c r="AI14" t="s">
        <v>439</v>
      </c>
      <c r="AJ14" s="40" t="s">
        <v>794</v>
      </c>
      <c r="AK14" t="s">
        <v>439</v>
      </c>
      <c r="AL14" t="s">
        <v>795</v>
      </c>
      <c r="AM14" t="s">
        <v>439</v>
      </c>
      <c r="AO14" t="s">
        <v>1035</v>
      </c>
      <c r="AP14">
        <v>0</v>
      </c>
      <c r="AQ14" s="8" t="s">
        <v>54</v>
      </c>
    </row>
    <row r="15" spans="1:43" x14ac:dyDescent="0.25">
      <c r="A15" s="6" t="s">
        <v>34</v>
      </c>
      <c r="B15" s="17">
        <v>10</v>
      </c>
      <c r="C15" s="50">
        <f t="shared" si="0"/>
        <v>0</v>
      </c>
      <c r="D15" s="8" t="s">
        <v>54</v>
      </c>
      <c r="H15" s="8" t="s">
        <v>54</v>
      </c>
      <c r="P15" s="8" t="s">
        <v>54</v>
      </c>
      <c r="Q15" s="42" t="s">
        <v>102</v>
      </c>
      <c r="T15" s="8" t="s">
        <v>54</v>
      </c>
      <c r="U15" s="42" t="s">
        <v>1033</v>
      </c>
      <c r="V15" t="s">
        <v>479</v>
      </c>
      <c r="X15" t="s">
        <v>415</v>
      </c>
      <c r="Y15" t="s">
        <v>442</v>
      </c>
      <c r="Z15" t="s">
        <v>438</v>
      </c>
      <c r="AA15" t="s">
        <v>438</v>
      </c>
      <c r="AF15" t="s">
        <v>864</v>
      </c>
      <c r="AG15" t="s">
        <v>446</v>
      </c>
      <c r="AH15" t="s">
        <v>868</v>
      </c>
      <c r="AI15" t="s">
        <v>439</v>
      </c>
      <c r="AJ15" s="40" t="s">
        <v>866</v>
      </c>
      <c r="AK15" t="s">
        <v>439</v>
      </c>
      <c r="AL15" t="s">
        <v>867</v>
      </c>
      <c r="AM15" t="s">
        <v>439</v>
      </c>
      <c r="AQ15" s="8" t="s">
        <v>54</v>
      </c>
    </row>
    <row r="16" spans="1:43" x14ac:dyDescent="0.25">
      <c r="D16" s="8" t="s">
        <v>54</v>
      </c>
      <c r="H16" s="8" t="s">
        <v>54</v>
      </c>
      <c r="L16" t="s">
        <v>54</v>
      </c>
      <c r="P16" s="8" t="s">
        <v>54</v>
      </c>
      <c r="Q16" t="s">
        <v>91</v>
      </c>
      <c r="R16" t="s">
        <v>102</v>
      </c>
      <c r="S16" t="s">
        <v>1007</v>
      </c>
      <c r="T16" s="8" t="s">
        <v>54</v>
      </c>
      <c r="V16" t="s">
        <v>791</v>
      </c>
      <c r="X16" t="s">
        <v>415</v>
      </c>
      <c r="Y16" t="s">
        <v>443</v>
      </c>
      <c r="Z16" t="s">
        <v>444</v>
      </c>
      <c r="AA16" t="s">
        <v>439</v>
      </c>
      <c r="AF16" t="s">
        <v>864</v>
      </c>
      <c r="AG16" t="s">
        <v>450</v>
      </c>
      <c r="AH16" t="s">
        <v>868</v>
      </c>
      <c r="AI16" t="s">
        <v>439</v>
      </c>
      <c r="AJ16" s="40" t="s">
        <v>866</v>
      </c>
      <c r="AK16" t="s">
        <v>439</v>
      </c>
      <c r="AL16" t="s">
        <v>867</v>
      </c>
      <c r="AM16" t="s">
        <v>439</v>
      </c>
      <c r="AQ16" s="8" t="s">
        <v>54</v>
      </c>
    </row>
    <row r="17" spans="1:43" x14ac:dyDescent="0.25">
      <c r="D17" s="8" t="s">
        <v>54</v>
      </c>
      <c r="E17" t="s">
        <v>192</v>
      </c>
      <c r="F17" s="41" t="s">
        <v>411</v>
      </c>
      <c r="G17" s="41" t="s">
        <v>412</v>
      </c>
      <c r="H17" s="8" t="s">
        <v>54</v>
      </c>
      <c r="K17" s="49"/>
      <c r="P17" s="8" t="s">
        <v>54</v>
      </c>
      <c r="R17" s="16"/>
      <c r="T17" s="8" t="s">
        <v>54</v>
      </c>
      <c r="V17" t="s">
        <v>864</v>
      </c>
      <c r="X17" t="s">
        <v>415</v>
      </c>
      <c r="Y17" t="s">
        <v>432</v>
      </c>
      <c r="Z17" t="s">
        <v>435</v>
      </c>
      <c r="AA17" t="s">
        <v>439</v>
      </c>
      <c r="AB17" t="s">
        <v>445</v>
      </c>
      <c r="AF17" t="s">
        <v>871</v>
      </c>
      <c r="AG17" t="s">
        <v>446</v>
      </c>
      <c r="AH17" t="s">
        <v>447</v>
      </c>
      <c r="AI17" t="s">
        <v>439</v>
      </c>
      <c r="AJ17" s="40" t="s">
        <v>873</v>
      </c>
      <c r="AK17" t="s">
        <v>439</v>
      </c>
      <c r="AL17" t="s">
        <v>874</v>
      </c>
      <c r="AM17" t="s">
        <v>439</v>
      </c>
      <c r="AQ17" s="8" t="s">
        <v>54</v>
      </c>
    </row>
    <row r="18" spans="1:43" x14ac:dyDescent="0.25">
      <c r="A18" s="10" t="s">
        <v>47</v>
      </c>
      <c r="B18" t="s">
        <v>36</v>
      </c>
      <c r="C18" t="s">
        <v>37</v>
      </c>
      <c r="D18" s="8" t="s">
        <v>54</v>
      </c>
      <c r="H18" s="8" t="s">
        <v>54</v>
      </c>
      <c r="P18" s="8" t="s">
        <v>54</v>
      </c>
      <c r="T18" s="8" t="s">
        <v>54</v>
      </c>
      <c r="V18" t="s">
        <v>871</v>
      </c>
      <c r="X18" t="s">
        <v>416</v>
      </c>
      <c r="Y18" t="s">
        <v>433</v>
      </c>
      <c r="Z18" t="s">
        <v>447</v>
      </c>
      <c r="AA18" t="s">
        <v>439</v>
      </c>
      <c r="AC18">
        <v>18</v>
      </c>
      <c r="AD18" t="s">
        <v>455</v>
      </c>
      <c r="AF18" t="s">
        <v>871</v>
      </c>
      <c r="AG18" t="s">
        <v>450</v>
      </c>
      <c r="AH18" t="s">
        <v>872</v>
      </c>
      <c r="AI18" t="s">
        <v>439</v>
      </c>
      <c r="AJ18" s="40" t="s">
        <v>875</v>
      </c>
      <c r="AK18" t="s">
        <v>447</v>
      </c>
      <c r="AL18" t="s">
        <v>876</v>
      </c>
      <c r="AM18" t="s">
        <v>447</v>
      </c>
      <c r="AQ18" s="8" t="s">
        <v>54</v>
      </c>
    </row>
    <row r="19" spans="1:43" x14ac:dyDescent="0.25">
      <c r="A19" s="47"/>
      <c r="D19" s="8" t="s">
        <v>54</v>
      </c>
      <c r="H19" s="8" t="s">
        <v>54</v>
      </c>
      <c r="P19" s="8" t="s">
        <v>54</v>
      </c>
      <c r="Q19" s="9" t="s">
        <v>808</v>
      </c>
      <c r="T19" s="8" t="s">
        <v>54</v>
      </c>
      <c r="V19" t="s">
        <v>895</v>
      </c>
      <c r="X19" t="s">
        <v>416</v>
      </c>
      <c r="Y19" t="s">
        <v>434</v>
      </c>
      <c r="Z19" s="40" t="s">
        <v>456</v>
      </c>
      <c r="AA19" t="s">
        <v>439</v>
      </c>
      <c r="AF19" t="s">
        <v>895</v>
      </c>
      <c r="AG19" t="s">
        <v>446</v>
      </c>
      <c r="AH19" t="s">
        <v>901</v>
      </c>
      <c r="AI19" t="s">
        <v>439</v>
      </c>
      <c r="AJ19" t="s">
        <v>897</v>
      </c>
      <c r="AK19" t="s">
        <v>439</v>
      </c>
      <c r="AL19" t="s">
        <v>898</v>
      </c>
      <c r="AM19" t="s">
        <v>439</v>
      </c>
      <c r="AQ19" s="8" t="s">
        <v>54</v>
      </c>
    </row>
    <row r="20" spans="1:43" x14ac:dyDescent="0.25">
      <c r="A20" s="10" t="s">
        <v>35</v>
      </c>
      <c r="B20" s="10" t="s">
        <v>55</v>
      </c>
      <c r="C20" s="9" t="s">
        <v>84</v>
      </c>
      <c r="D20" s="8" t="s">
        <v>54</v>
      </c>
      <c r="H20" s="8" t="s">
        <v>54</v>
      </c>
      <c r="P20" s="8" t="s">
        <v>54</v>
      </c>
      <c r="T20" s="8" t="s">
        <v>54</v>
      </c>
      <c r="V20" t="s">
        <v>896</v>
      </c>
      <c r="X20" t="s">
        <v>416</v>
      </c>
      <c r="Y20" t="s">
        <v>423</v>
      </c>
      <c r="Z20" t="s">
        <v>447</v>
      </c>
      <c r="AA20" t="s">
        <v>439</v>
      </c>
      <c r="AB20" t="s">
        <v>439</v>
      </c>
      <c r="AF20" t="s">
        <v>895</v>
      </c>
      <c r="AG20" t="s">
        <v>450</v>
      </c>
      <c r="AH20" t="s">
        <v>900</v>
      </c>
      <c r="AI20" t="s">
        <v>439</v>
      </c>
      <c r="AJ20" s="40" t="s">
        <v>899</v>
      </c>
      <c r="AK20" t="s">
        <v>439</v>
      </c>
      <c r="AL20" t="s">
        <v>911</v>
      </c>
      <c r="AM20" t="s">
        <v>439</v>
      </c>
      <c r="AQ20" s="8" t="s">
        <v>54</v>
      </c>
    </row>
    <row r="21" spans="1:43" x14ac:dyDescent="0.25">
      <c r="A21" s="5"/>
      <c r="B21" s="5"/>
      <c r="C21" s="48" t="s">
        <v>17</v>
      </c>
      <c r="D21" s="8" t="s">
        <v>54</v>
      </c>
      <c r="H21" s="8" t="s">
        <v>54</v>
      </c>
      <c r="P21" s="8" t="s">
        <v>54</v>
      </c>
      <c r="T21" s="8" t="s">
        <v>54</v>
      </c>
      <c r="V21" t="s">
        <v>1076</v>
      </c>
      <c r="X21" t="s">
        <v>416</v>
      </c>
      <c r="Y21" t="s">
        <v>441</v>
      </c>
      <c r="Z21" t="s">
        <v>447</v>
      </c>
      <c r="AA21" t="s">
        <v>439</v>
      </c>
      <c r="AB21" t="s">
        <v>439</v>
      </c>
      <c r="AF21" t="s">
        <v>896</v>
      </c>
      <c r="AG21" t="s">
        <v>446</v>
      </c>
      <c r="AH21" t="s">
        <v>905</v>
      </c>
      <c r="AI21" t="s">
        <v>439</v>
      </c>
      <c r="AJ21" t="s">
        <v>903</v>
      </c>
      <c r="AK21" t="s">
        <v>439</v>
      </c>
      <c r="AL21" t="s">
        <v>907</v>
      </c>
      <c r="AM21" t="s">
        <v>439</v>
      </c>
      <c r="AQ21" s="8" t="s">
        <v>54</v>
      </c>
    </row>
    <row r="22" spans="1:43" x14ac:dyDescent="0.25">
      <c r="D22" s="8" t="s">
        <v>54</v>
      </c>
      <c r="E22" s="9" t="s">
        <v>808</v>
      </c>
      <c r="H22" s="8" t="s">
        <v>54</v>
      </c>
      <c r="P22" s="8" t="s">
        <v>54</v>
      </c>
      <c r="T22" s="8" t="s">
        <v>54</v>
      </c>
      <c r="U22" s="42" t="s">
        <v>1034</v>
      </c>
      <c r="V22" t="s">
        <v>913</v>
      </c>
      <c r="X22" t="s">
        <v>416</v>
      </c>
      <c r="Y22" t="s">
        <v>442</v>
      </c>
      <c r="Z22" t="s">
        <v>447</v>
      </c>
      <c r="AA22" t="s">
        <v>447</v>
      </c>
      <c r="AF22" t="s">
        <v>896</v>
      </c>
      <c r="AG22" t="s">
        <v>450</v>
      </c>
      <c r="AH22" t="s">
        <v>905</v>
      </c>
      <c r="AI22" t="s">
        <v>439</v>
      </c>
      <c r="AJ22" t="s">
        <v>904</v>
      </c>
      <c r="AK22" t="s">
        <v>439</v>
      </c>
      <c r="AL22" t="s">
        <v>912</v>
      </c>
      <c r="AM22" t="s">
        <v>439</v>
      </c>
      <c r="AQ22" s="8" t="s">
        <v>54</v>
      </c>
    </row>
    <row r="23" spans="1:43" x14ac:dyDescent="0.25">
      <c r="A23" t="s">
        <v>1001</v>
      </c>
      <c r="B23" t="s">
        <v>1002</v>
      </c>
      <c r="D23" s="8" t="s">
        <v>54</v>
      </c>
      <c r="H23" s="8" t="s">
        <v>54</v>
      </c>
      <c r="P23" s="8" t="s">
        <v>54</v>
      </c>
      <c r="T23" s="8" t="s">
        <v>54</v>
      </c>
      <c r="X23" t="s">
        <v>416</v>
      </c>
      <c r="Y23" t="s">
        <v>443</v>
      </c>
      <c r="Z23" t="s">
        <v>447</v>
      </c>
      <c r="AA23" t="s">
        <v>439</v>
      </c>
      <c r="AF23" t="s">
        <v>1076</v>
      </c>
      <c r="AG23" t="s">
        <v>446</v>
      </c>
      <c r="AH23" t="s">
        <v>910</v>
      </c>
      <c r="AI23" t="s">
        <v>447</v>
      </c>
      <c r="AJ23" t="s">
        <v>909</v>
      </c>
      <c r="AK23" t="s">
        <v>447</v>
      </c>
      <c r="AL23" t="s">
        <v>908</v>
      </c>
      <c r="AM23" t="s">
        <v>447</v>
      </c>
      <c r="AQ23" s="8" t="s">
        <v>54</v>
      </c>
    </row>
    <row r="24" spans="1:43" x14ac:dyDescent="0.25">
      <c r="A24" t="s">
        <v>470</v>
      </c>
      <c r="B24" t="s">
        <v>49</v>
      </c>
      <c r="C24" t="s">
        <v>85</v>
      </c>
      <c r="D24" s="8" t="s">
        <v>54</v>
      </c>
      <c r="H24" s="8" t="s">
        <v>54</v>
      </c>
      <c r="P24" s="8" t="s">
        <v>54</v>
      </c>
      <c r="T24" s="8" t="s">
        <v>54</v>
      </c>
      <c r="X24" t="s">
        <v>416</v>
      </c>
      <c r="Y24" t="s">
        <v>432</v>
      </c>
      <c r="Z24" t="s">
        <v>457</v>
      </c>
      <c r="AA24" t="s">
        <v>439</v>
      </c>
      <c r="AB24" t="s">
        <v>445</v>
      </c>
      <c r="AF24" t="s">
        <v>1076</v>
      </c>
      <c r="AG24" t="s">
        <v>450</v>
      </c>
      <c r="AH24" t="s">
        <v>905</v>
      </c>
      <c r="AI24" t="s">
        <v>439</v>
      </c>
      <c r="AJ24" t="s">
        <v>904</v>
      </c>
      <c r="AK24" t="s">
        <v>439</v>
      </c>
      <c r="AL24" t="s">
        <v>912</v>
      </c>
      <c r="AM24" t="s">
        <v>439</v>
      </c>
      <c r="AQ24" s="8" t="s">
        <v>54</v>
      </c>
    </row>
    <row r="25" spans="1:43" x14ac:dyDescent="0.25">
      <c r="B25" s="43"/>
      <c r="D25" s="8" t="s">
        <v>54</v>
      </c>
      <c r="H25" s="8" t="s">
        <v>54</v>
      </c>
      <c r="P25" s="8" t="s">
        <v>54</v>
      </c>
      <c r="Q25" s="15"/>
      <c r="T25" s="8" t="s">
        <v>54</v>
      </c>
      <c r="U25" t="s">
        <v>1074</v>
      </c>
      <c r="X25" t="s">
        <v>460</v>
      </c>
      <c r="Y25" t="s">
        <v>433</v>
      </c>
      <c r="Z25" t="s">
        <v>464</v>
      </c>
      <c r="AA25" t="s">
        <v>447</v>
      </c>
      <c r="AC25">
        <v>10</v>
      </c>
      <c r="AD25" t="s">
        <v>461</v>
      </c>
      <c r="AF25" t="s">
        <v>913</v>
      </c>
      <c r="AG25" t="s">
        <v>446</v>
      </c>
      <c r="AH25" t="s">
        <v>914</v>
      </c>
      <c r="AI25" t="s">
        <v>439</v>
      </c>
      <c r="AJ25" t="s">
        <v>1012</v>
      </c>
      <c r="AK25" t="s">
        <v>447</v>
      </c>
      <c r="AL25" t="s">
        <v>910</v>
      </c>
      <c r="AM25" t="s">
        <v>447</v>
      </c>
      <c r="AQ25" s="8" t="s">
        <v>54</v>
      </c>
    </row>
    <row r="26" spans="1:43" x14ac:dyDescent="0.25">
      <c r="D26" s="8" t="s">
        <v>54</v>
      </c>
      <c r="H26" s="8" t="s">
        <v>54</v>
      </c>
      <c r="P26" s="8" t="s">
        <v>54</v>
      </c>
      <c r="Q26" s="15"/>
      <c r="T26" s="8" t="s">
        <v>54</v>
      </c>
      <c r="X26" t="s">
        <v>460</v>
      </c>
      <c r="Y26" t="s">
        <v>434</v>
      </c>
      <c r="Z26" s="40" t="s">
        <v>462</v>
      </c>
      <c r="AA26" t="s">
        <v>447</v>
      </c>
      <c r="AF26" t="s">
        <v>913</v>
      </c>
      <c r="AG26" t="s">
        <v>450</v>
      </c>
      <c r="AH26" t="s">
        <v>914</v>
      </c>
      <c r="AI26" t="s">
        <v>439</v>
      </c>
      <c r="AJ26" t="s">
        <v>1012</v>
      </c>
      <c r="AK26" t="s">
        <v>447</v>
      </c>
      <c r="AL26" t="s">
        <v>910</v>
      </c>
      <c r="AM26" t="s">
        <v>447</v>
      </c>
      <c r="AQ26" s="8" t="s">
        <v>54</v>
      </c>
    </row>
    <row r="27" spans="1:43" x14ac:dyDescent="0.25">
      <c r="A27" s="9" t="s">
        <v>56</v>
      </c>
      <c r="B27" s="9"/>
      <c r="C27" s="9" t="s">
        <v>67</v>
      </c>
      <c r="D27" s="8" t="s">
        <v>54</v>
      </c>
      <c r="H27" s="8" t="s">
        <v>54</v>
      </c>
      <c r="P27" s="8" t="s">
        <v>54</v>
      </c>
      <c r="T27" s="8" t="s">
        <v>54</v>
      </c>
      <c r="X27" t="s">
        <v>460</v>
      </c>
      <c r="Y27" t="s">
        <v>423</v>
      </c>
      <c r="Z27" t="s">
        <v>464</v>
      </c>
      <c r="AA27" t="s">
        <v>439</v>
      </c>
      <c r="AB27" t="s">
        <v>439</v>
      </c>
      <c r="AF27" t="s">
        <v>453</v>
      </c>
      <c r="AQ27" s="8" t="s">
        <v>54</v>
      </c>
    </row>
    <row r="28" spans="1:43" x14ac:dyDescent="0.25">
      <c r="A28" s="1" t="s">
        <v>57</v>
      </c>
      <c r="B28" s="1">
        <v>0</v>
      </c>
      <c r="C28" s="2">
        <v>10</v>
      </c>
      <c r="D28" s="8" t="s">
        <v>54</v>
      </c>
      <c r="H28" s="8" t="s">
        <v>54</v>
      </c>
      <c r="P28" s="8" t="s">
        <v>54</v>
      </c>
      <c r="T28" s="8" t="s">
        <v>54</v>
      </c>
      <c r="X28" t="s">
        <v>460</v>
      </c>
      <c r="Y28" t="s">
        <v>441</v>
      </c>
      <c r="Z28" t="s">
        <v>464</v>
      </c>
      <c r="AA28" t="s">
        <v>439</v>
      </c>
      <c r="AB28" t="s">
        <v>439</v>
      </c>
      <c r="AF28" t="s">
        <v>417</v>
      </c>
      <c r="AG28" t="s">
        <v>0</v>
      </c>
      <c r="AH28" t="s">
        <v>431</v>
      </c>
      <c r="AI28" t="s">
        <v>471</v>
      </c>
      <c r="AJ28" t="s">
        <v>468</v>
      </c>
      <c r="AQ28" s="8" t="s">
        <v>54</v>
      </c>
    </row>
    <row r="29" spans="1:43" x14ac:dyDescent="0.25">
      <c r="A29" s="3" t="s">
        <v>58</v>
      </c>
      <c r="B29" s="3">
        <v>0</v>
      </c>
      <c r="D29" s="8" t="s">
        <v>54</v>
      </c>
      <c r="H29" s="8" t="s">
        <v>54</v>
      </c>
      <c r="P29" s="8" t="s">
        <v>54</v>
      </c>
      <c r="T29" s="8" t="s">
        <v>54</v>
      </c>
      <c r="X29" t="s">
        <v>460</v>
      </c>
      <c r="Y29" t="s">
        <v>442</v>
      </c>
      <c r="Z29" t="s">
        <v>464</v>
      </c>
      <c r="AA29" t="s">
        <v>464</v>
      </c>
      <c r="AF29" t="s">
        <v>415</v>
      </c>
      <c r="AG29" t="s">
        <v>452</v>
      </c>
      <c r="AH29" t="s">
        <v>437</v>
      </c>
      <c r="AI29" t="s">
        <v>439</v>
      </c>
      <c r="AJ29" t="s">
        <v>469</v>
      </c>
      <c r="AQ29" s="8" t="s">
        <v>54</v>
      </c>
    </row>
    <row r="30" spans="1:43" x14ac:dyDescent="0.25">
      <c r="D30" s="8" t="s">
        <v>54</v>
      </c>
      <c r="H30" s="8" t="s">
        <v>54</v>
      </c>
      <c r="P30" s="8" t="s">
        <v>54</v>
      </c>
      <c r="T30" s="8" t="s">
        <v>54</v>
      </c>
      <c r="X30" t="s">
        <v>460</v>
      </c>
      <c r="Y30" t="s">
        <v>443</v>
      </c>
      <c r="Z30" t="s">
        <v>463</v>
      </c>
      <c r="AA30" t="s">
        <v>447</v>
      </c>
      <c r="AF30" t="s">
        <v>416</v>
      </c>
      <c r="AG30" t="s">
        <v>452</v>
      </c>
      <c r="AH30" t="s">
        <v>456</v>
      </c>
      <c r="AI30" t="s">
        <v>439</v>
      </c>
      <c r="AJ30" t="s">
        <v>469</v>
      </c>
      <c r="AQ30" s="8" t="s">
        <v>54</v>
      </c>
    </row>
    <row r="31" spans="1:43" x14ac:dyDescent="0.25">
      <c r="A31" s="9" t="s">
        <v>39</v>
      </c>
      <c r="B31" s="9" t="s">
        <v>25</v>
      </c>
      <c r="C31" s="9" t="s">
        <v>1005</v>
      </c>
      <c r="D31" s="8" t="s">
        <v>54</v>
      </c>
      <c r="H31" s="8" t="s">
        <v>54</v>
      </c>
      <c r="P31" s="8" t="s">
        <v>54</v>
      </c>
      <c r="T31" s="8" t="s">
        <v>54</v>
      </c>
      <c r="X31" t="s">
        <v>460</v>
      </c>
      <c r="Y31" t="s">
        <v>432</v>
      </c>
      <c r="Z31" t="s">
        <v>466</v>
      </c>
      <c r="AA31" t="s">
        <v>447</v>
      </c>
      <c r="AB31" t="s">
        <v>472</v>
      </c>
      <c r="AF31" t="s">
        <v>460</v>
      </c>
      <c r="AG31" t="s">
        <v>467</v>
      </c>
      <c r="AH31" s="40" t="s">
        <v>462</v>
      </c>
      <c r="AI31" t="s">
        <v>447</v>
      </c>
      <c r="AJ31" t="s">
        <v>467</v>
      </c>
      <c r="AQ31" s="8" t="s">
        <v>54</v>
      </c>
    </row>
    <row r="32" spans="1:43" x14ac:dyDescent="0.25">
      <c r="A32" s="5"/>
      <c r="B32" s="5"/>
      <c r="C32" s="5"/>
      <c r="D32" s="8" t="s">
        <v>54</v>
      </c>
      <c r="H32" s="8" t="s">
        <v>54</v>
      </c>
      <c r="P32" s="8" t="s">
        <v>54</v>
      </c>
      <c r="Q32" t="s">
        <v>97</v>
      </c>
      <c r="T32" s="8" t="s">
        <v>54</v>
      </c>
      <c r="X32" t="s">
        <v>486</v>
      </c>
      <c r="Y32" t="s">
        <v>433</v>
      </c>
      <c r="Z32" t="s">
        <v>473</v>
      </c>
      <c r="AA32" t="s">
        <v>447</v>
      </c>
      <c r="AC32">
        <v>10</v>
      </c>
      <c r="AD32" t="s">
        <v>474</v>
      </c>
      <c r="AF32" t="s">
        <v>486</v>
      </c>
      <c r="AG32" t="s">
        <v>800</v>
      </c>
      <c r="AH32" s="40" t="s">
        <v>1010</v>
      </c>
      <c r="AI32" t="s">
        <v>447</v>
      </c>
      <c r="AJ32" t="s">
        <v>800</v>
      </c>
      <c r="AQ32" s="8" t="s">
        <v>54</v>
      </c>
    </row>
    <row r="33" spans="1:43" x14ac:dyDescent="0.25">
      <c r="A33" s="9" t="s">
        <v>1003</v>
      </c>
      <c r="B33" s="9" t="s">
        <v>66</v>
      </c>
      <c r="C33" s="9" t="s">
        <v>1004</v>
      </c>
      <c r="D33" s="8" t="s">
        <v>54</v>
      </c>
      <c r="H33" s="8" t="s">
        <v>54</v>
      </c>
      <c r="P33" s="8" t="s">
        <v>54</v>
      </c>
      <c r="T33" s="8" t="s">
        <v>54</v>
      </c>
      <c r="X33" t="s">
        <v>486</v>
      </c>
      <c r="Y33" t="s">
        <v>434</v>
      </c>
      <c r="Z33" s="40" t="s">
        <v>1008</v>
      </c>
      <c r="AA33" t="s">
        <v>447</v>
      </c>
      <c r="AF33" t="s">
        <v>479</v>
      </c>
      <c r="AG33" t="s">
        <v>488</v>
      </c>
      <c r="AH33" t="s">
        <v>483</v>
      </c>
      <c r="AI33" t="s">
        <v>447</v>
      </c>
      <c r="AJ33" t="s">
        <v>481</v>
      </c>
      <c r="AQ33" s="8" t="s">
        <v>54</v>
      </c>
    </row>
    <row r="34" spans="1:43" x14ac:dyDescent="0.25">
      <c r="A34" s="5"/>
      <c r="B34" s="5"/>
      <c r="C34" s="5"/>
      <c r="D34" s="8" t="s">
        <v>54</v>
      </c>
      <c r="H34" s="8" t="s">
        <v>54</v>
      </c>
      <c r="P34" s="8" t="s">
        <v>54</v>
      </c>
      <c r="T34" s="8" t="s">
        <v>54</v>
      </c>
      <c r="X34" t="s">
        <v>486</v>
      </c>
      <c r="Y34" t="s">
        <v>423</v>
      </c>
      <c r="Z34" s="40" t="s">
        <v>475</v>
      </c>
      <c r="AA34" t="s">
        <v>447</v>
      </c>
      <c r="AB34" t="s">
        <v>439</v>
      </c>
      <c r="AF34" t="s">
        <v>791</v>
      </c>
      <c r="AG34" t="s">
        <v>799</v>
      </c>
      <c r="AH34" t="s">
        <v>795</v>
      </c>
      <c r="AI34" t="s">
        <v>439</v>
      </c>
      <c r="AJ34" t="s">
        <v>797</v>
      </c>
      <c r="AQ34" s="8" t="s">
        <v>54</v>
      </c>
    </row>
    <row r="35" spans="1:43" x14ac:dyDescent="0.25">
      <c r="A35" t="s">
        <v>45</v>
      </c>
      <c r="B35" t="s">
        <v>4</v>
      </c>
      <c r="C35" t="s">
        <v>83</v>
      </c>
      <c r="H35" s="8" t="s">
        <v>54</v>
      </c>
      <c r="P35" s="8" t="s">
        <v>54</v>
      </c>
      <c r="X35" t="s">
        <v>486</v>
      </c>
      <c r="Y35" t="s">
        <v>441</v>
      </c>
      <c r="Z35" s="40" t="s">
        <v>475</v>
      </c>
      <c r="AA35" t="s">
        <v>447</v>
      </c>
      <c r="AB35" t="s">
        <v>439</v>
      </c>
      <c r="AF35" t="s">
        <v>864</v>
      </c>
      <c r="AG35" t="s">
        <v>870</v>
      </c>
      <c r="AH35" t="s">
        <v>869</v>
      </c>
      <c r="AI35" t="s">
        <v>439</v>
      </c>
      <c r="AJ35" t="s">
        <v>870</v>
      </c>
    </row>
    <row r="36" spans="1:43" x14ac:dyDescent="0.25">
      <c r="A36" s="5"/>
      <c r="B36" s="5"/>
      <c r="C36" s="5"/>
      <c r="H36" s="8" t="s">
        <v>54</v>
      </c>
      <c r="P36" s="8" t="s">
        <v>54</v>
      </c>
      <c r="X36" t="s">
        <v>486</v>
      </c>
      <c r="Y36" t="s">
        <v>442</v>
      </c>
      <c r="Z36" s="40" t="s">
        <v>475</v>
      </c>
      <c r="AA36" s="40" t="s">
        <v>475</v>
      </c>
      <c r="AF36" t="s">
        <v>871</v>
      </c>
      <c r="AG36" t="s">
        <v>447</v>
      </c>
      <c r="AH36" t="s">
        <v>876</v>
      </c>
      <c r="AI36" t="s">
        <v>447</v>
      </c>
      <c r="AJ36" t="s">
        <v>877</v>
      </c>
    </row>
    <row r="37" spans="1:43" x14ac:dyDescent="0.25">
      <c r="H37" s="8" t="s">
        <v>54</v>
      </c>
      <c r="P37" s="8" t="s">
        <v>54</v>
      </c>
      <c r="X37" t="s">
        <v>486</v>
      </c>
      <c r="Y37" t="s">
        <v>443</v>
      </c>
      <c r="Z37" t="s">
        <v>1011</v>
      </c>
      <c r="AA37" t="s">
        <v>447</v>
      </c>
      <c r="AF37" t="s">
        <v>895</v>
      </c>
      <c r="AG37" t="s">
        <v>488</v>
      </c>
      <c r="AH37" t="s">
        <v>898</v>
      </c>
      <c r="AI37" t="s">
        <v>439</v>
      </c>
      <c r="AJ37" t="s">
        <v>901</v>
      </c>
    </row>
    <row r="38" spans="1:43" x14ac:dyDescent="0.25">
      <c r="H38" s="8" t="s">
        <v>54</v>
      </c>
      <c r="P38" s="8" t="s">
        <v>54</v>
      </c>
      <c r="X38" t="s">
        <v>486</v>
      </c>
      <c r="Y38" t="s">
        <v>432</v>
      </c>
      <c r="Z38" t="s">
        <v>476</v>
      </c>
      <c r="AA38" t="s">
        <v>447</v>
      </c>
      <c r="AB38" t="s">
        <v>472</v>
      </c>
      <c r="AF38" t="s">
        <v>896</v>
      </c>
      <c r="AG38" t="s">
        <v>452</v>
      </c>
      <c r="AH38" t="s">
        <v>907</v>
      </c>
      <c r="AI38" t="s">
        <v>439</v>
      </c>
      <c r="AJ38" t="s">
        <v>910</v>
      </c>
    </row>
    <row r="39" spans="1:43" x14ac:dyDescent="0.25">
      <c r="H39" s="8" t="s">
        <v>54</v>
      </c>
      <c r="P39" s="8" t="s">
        <v>54</v>
      </c>
      <c r="X39" t="s">
        <v>479</v>
      </c>
      <c r="Y39" t="s">
        <v>433</v>
      </c>
      <c r="Z39" t="s">
        <v>482</v>
      </c>
      <c r="AA39" t="s">
        <v>447</v>
      </c>
      <c r="AC39">
        <v>1</v>
      </c>
      <c r="AD39" t="s">
        <v>483</v>
      </c>
      <c r="AF39" t="s">
        <v>1076</v>
      </c>
      <c r="AG39" t="s">
        <v>452</v>
      </c>
      <c r="AH39" t="s">
        <v>910</v>
      </c>
      <c r="AI39" t="s">
        <v>447</v>
      </c>
      <c r="AJ39" t="s">
        <v>910</v>
      </c>
    </row>
    <row r="40" spans="1:43" x14ac:dyDescent="0.25">
      <c r="H40" s="8" t="s">
        <v>54</v>
      </c>
      <c r="P40" s="8" t="s">
        <v>54</v>
      </c>
      <c r="X40" t="s">
        <v>479</v>
      </c>
      <c r="Y40" t="s">
        <v>434</v>
      </c>
      <c r="Z40" s="40" t="s">
        <v>484</v>
      </c>
      <c r="AA40" t="s">
        <v>447</v>
      </c>
      <c r="AF40" t="s">
        <v>913</v>
      </c>
      <c r="AG40" t="s">
        <v>914</v>
      </c>
      <c r="AH40" t="s">
        <v>910</v>
      </c>
      <c r="AI40" t="s">
        <v>447</v>
      </c>
      <c r="AJ40" t="s">
        <v>914</v>
      </c>
    </row>
    <row r="41" spans="1:43" x14ac:dyDescent="0.25">
      <c r="H41" s="8" t="s">
        <v>54</v>
      </c>
      <c r="P41" s="8" t="s">
        <v>54</v>
      </c>
      <c r="X41" t="s">
        <v>479</v>
      </c>
      <c r="Y41" t="s">
        <v>423</v>
      </c>
      <c r="Z41" t="s">
        <v>480</v>
      </c>
      <c r="AA41" t="s">
        <v>439</v>
      </c>
      <c r="AB41" t="s">
        <v>439</v>
      </c>
    </row>
    <row r="42" spans="1:43" x14ac:dyDescent="0.25">
      <c r="H42" s="8" t="s">
        <v>54</v>
      </c>
      <c r="P42" s="8" t="s">
        <v>54</v>
      </c>
      <c r="X42" t="s">
        <v>479</v>
      </c>
      <c r="Y42" t="s">
        <v>441</v>
      </c>
      <c r="Z42" t="s">
        <v>480</v>
      </c>
      <c r="AA42" t="s">
        <v>439</v>
      </c>
      <c r="AB42" t="s">
        <v>439</v>
      </c>
      <c r="AF42" t="s">
        <v>989</v>
      </c>
    </row>
    <row r="43" spans="1:43" x14ac:dyDescent="0.25">
      <c r="P43" s="8" t="s">
        <v>54</v>
      </c>
      <c r="X43" t="s">
        <v>479</v>
      </c>
      <c r="Y43" t="s">
        <v>442</v>
      </c>
      <c r="Z43" t="s">
        <v>480</v>
      </c>
      <c r="AA43" t="s">
        <v>480</v>
      </c>
      <c r="AF43" t="s">
        <v>52</v>
      </c>
      <c r="AG43" t="s">
        <v>990</v>
      </c>
      <c r="AH43" t="s">
        <v>991</v>
      </c>
      <c r="AI43" t="s">
        <v>992</v>
      </c>
      <c r="AJ43" t="s">
        <v>993</v>
      </c>
      <c r="AK43" t="s">
        <v>994</v>
      </c>
      <c r="AL43" t="s">
        <v>1036</v>
      </c>
      <c r="AM43" t="s">
        <v>1037</v>
      </c>
    </row>
    <row r="44" spans="1:43" x14ac:dyDescent="0.25">
      <c r="P44" s="8" t="s">
        <v>54</v>
      </c>
      <c r="X44" t="s">
        <v>479</v>
      </c>
      <c r="Y44" t="s">
        <v>443</v>
      </c>
      <c r="Z44" t="s">
        <v>481</v>
      </c>
      <c r="AA44" t="s">
        <v>439</v>
      </c>
      <c r="AF44" t="s">
        <v>995</v>
      </c>
      <c r="AG44" t="s">
        <v>996</v>
      </c>
      <c r="AH44" t="s">
        <v>997</v>
      </c>
      <c r="AI44" t="s">
        <v>998</v>
      </c>
      <c r="AJ44" t="s">
        <v>999</v>
      </c>
      <c r="AK44">
        <v>22.57</v>
      </c>
      <c r="AL44">
        <v>0</v>
      </c>
      <c r="AM44">
        <v>0</v>
      </c>
    </row>
    <row r="45" spans="1:43" x14ac:dyDescent="0.25">
      <c r="P45" s="8" t="s">
        <v>54</v>
      </c>
      <c r="X45" t="s">
        <v>479</v>
      </c>
      <c r="Y45" t="s">
        <v>432</v>
      </c>
      <c r="Z45" t="s">
        <v>488</v>
      </c>
      <c r="AA45" t="s">
        <v>447</v>
      </c>
      <c r="AB45" t="s">
        <v>472</v>
      </c>
      <c r="AF45" t="s">
        <v>1020</v>
      </c>
      <c r="AG45" t="s">
        <v>1021</v>
      </c>
      <c r="AH45" t="s">
        <v>1022</v>
      </c>
      <c r="AI45" t="s">
        <v>1023</v>
      </c>
      <c r="AJ45" t="s">
        <v>1024</v>
      </c>
      <c r="AK45">
        <v>22.57</v>
      </c>
      <c r="AL45">
        <v>0</v>
      </c>
      <c r="AM45">
        <v>0</v>
      </c>
    </row>
    <row r="46" spans="1:43" x14ac:dyDescent="0.25">
      <c r="P46" s="8" t="s">
        <v>54</v>
      </c>
      <c r="X46" t="s">
        <v>791</v>
      </c>
      <c r="Y46" t="s">
        <v>433</v>
      </c>
      <c r="Z46" t="s">
        <v>793</v>
      </c>
      <c r="AA46" t="s">
        <v>447</v>
      </c>
      <c r="AC46">
        <v>16</v>
      </c>
      <c r="AD46" t="s">
        <v>792</v>
      </c>
      <c r="AF46" t="s">
        <v>1025</v>
      </c>
      <c r="AG46" t="s">
        <v>1026</v>
      </c>
      <c r="AH46" t="s">
        <v>1027</v>
      </c>
      <c r="AI46" t="s">
        <v>1028</v>
      </c>
      <c r="AJ46" t="s">
        <v>1029</v>
      </c>
      <c r="AK46">
        <v>16.670000000000002</v>
      </c>
      <c r="AL46">
        <v>1</v>
      </c>
      <c r="AM46">
        <v>1</v>
      </c>
    </row>
    <row r="47" spans="1:43" x14ac:dyDescent="0.25">
      <c r="P47" s="8" t="s">
        <v>54</v>
      </c>
      <c r="X47" t="s">
        <v>791</v>
      </c>
      <c r="Y47" t="s">
        <v>434</v>
      </c>
      <c r="Z47" s="40" t="s">
        <v>794</v>
      </c>
      <c r="AA47" t="s">
        <v>439</v>
      </c>
    </row>
    <row r="48" spans="1:43" x14ac:dyDescent="0.25">
      <c r="P48" s="8" t="s">
        <v>54</v>
      </c>
      <c r="X48" t="s">
        <v>791</v>
      </c>
      <c r="Y48" t="s">
        <v>423</v>
      </c>
      <c r="Z48" t="s">
        <v>793</v>
      </c>
      <c r="AA48" t="s">
        <v>439</v>
      </c>
      <c r="AB48" t="s">
        <v>439</v>
      </c>
    </row>
    <row r="49" spans="16:30" x14ac:dyDescent="0.25">
      <c r="P49" s="8" t="s">
        <v>54</v>
      </c>
      <c r="X49" t="s">
        <v>791</v>
      </c>
      <c r="Y49" t="s">
        <v>441</v>
      </c>
      <c r="Z49" t="s">
        <v>793</v>
      </c>
      <c r="AA49" t="s">
        <v>439</v>
      </c>
      <c r="AB49" t="s">
        <v>439</v>
      </c>
    </row>
    <row r="50" spans="16:30" x14ac:dyDescent="0.25">
      <c r="P50" s="8" t="s">
        <v>54</v>
      </c>
      <c r="X50" t="s">
        <v>791</v>
      </c>
      <c r="Y50" t="s">
        <v>442</v>
      </c>
      <c r="Z50" t="s">
        <v>793</v>
      </c>
      <c r="AA50" t="s">
        <v>793</v>
      </c>
    </row>
    <row r="51" spans="16:30" x14ac:dyDescent="0.25">
      <c r="P51" s="8" t="s">
        <v>54</v>
      </c>
      <c r="X51" t="s">
        <v>791</v>
      </c>
      <c r="Y51" t="s">
        <v>443</v>
      </c>
      <c r="Z51" t="s">
        <v>796</v>
      </c>
      <c r="AA51" t="s">
        <v>439</v>
      </c>
    </row>
    <row r="52" spans="16:30" x14ac:dyDescent="0.25">
      <c r="P52" s="8" t="s">
        <v>54</v>
      </c>
      <c r="X52" t="s">
        <v>791</v>
      </c>
      <c r="Y52" t="s">
        <v>432</v>
      </c>
      <c r="Z52" t="s">
        <v>797</v>
      </c>
      <c r="AA52" t="s">
        <v>447</v>
      </c>
      <c r="AB52" t="s">
        <v>472</v>
      </c>
    </row>
    <row r="53" spans="16:30" x14ac:dyDescent="0.25">
      <c r="P53" s="8" t="s">
        <v>54</v>
      </c>
      <c r="X53" t="s">
        <v>864</v>
      </c>
      <c r="Y53" t="s">
        <v>433</v>
      </c>
      <c r="Z53" t="s">
        <v>869</v>
      </c>
      <c r="AA53" t="s">
        <v>439</v>
      </c>
      <c r="AC53">
        <v>1</v>
      </c>
      <c r="AD53" t="s">
        <v>447</v>
      </c>
    </row>
    <row r="54" spans="16:30" x14ac:dyDescent="0.25">
      <c r="P54" s="8" t="s">
        <v>54</v>
      </c>
      <c r="X54" t="s">
        <v>864</v>
      </c>
      <c r="Y54" t="s">
        <v>434</v>
      </c>
      <c r="Z54" s="40" t="s">
        <v>866</v>
      </c>
      <c r="AA54" t="s">
        <v>439</v>
      </c>
    </row>
    <row r="55" spans="16:30" x14ac:dyDescent="0.25">
      <c r="P55" s="8" t="s">
        <v>54</v>
      </c>
      <c r="X55" t="s">
        <v>864</v>
      </c>
      <c r="Y55" t="s">
        <v>423</v>
      </c>
      <c r="Z55" t="s">
        <v>868</v>
      </c>
      <c r="AA55" t="s">
        <v>439</v>
      </c>
      <c r="AB55" t="s">
        <v>439</v>
      </c>
    </row>
    <row r="56" spans="16:30" x14ac:dyDescent="0.25">
      <c r="P56" s="8" t="s">
        <v>54</v>
      </c>
      <c r="X56" t="s">
        <v>864</v>
      </c>
      <c r="Y56" t="s">
        <v>441</v>
      </c>
      <c r="Z56" t="s">
        <v>868</v>
      </c>
      <c r="AA56" t="s">
        <v>439</v>
      </c>
      <c r="AB56" t="s">
        <v>439</v>
      </c>
    </row>
    <row r="57" spans="16:30" x14ac:dyDescent="0.25">
      <c r="P57" s="8" t="s">
        <v>54</v>
      </c>
      <c r="X57" t="s">
        <v>864</v>
      </c>
      <c r="Y57" t="s">
        <v>442</v>
      </c>
      <c r="Z57" t="s">
        <v>868</v>
      </c>
      <c r="AA57" t="s">
        <v>868</v>
      </c>
    </row>
    <row r="58" spans="16:30" x14ac:dyDescent="0.25">
      <c r="P58" s="8" t="s">
        <v>54</v>
      </c>
      <c r="X58" t="s">
        <v>864</v>
      </c>
      <c r="Y58" t="s">
        <v>443</v>
      </c>
      <c r="Z58" t="s">
        <v>865</v>
      </c>
      <c r="AA58" t="s">
        <v>439</v>
      </c>
    </row>
    <row r="59" spans="16:30" x14ac:dyDescent="0.25">
      <c r="P59" s="8" t="s">
        <v>54</v>
      </c>
      <c r="X59" t="s">
        <v>864</v>
      </c>
      <c r="Y59" t="s">
        <v>432</v>
      </c>
      <c r="Z59" t="s">
        <v>869</v>
      </c>
      <c r="AA59" t="s">
        <v>870</v>
      </c>
      <c r="AB59" t="s">
        <v>870</v>
      </c>
    </row>
    <row r="60" spans="16:30" x14ac:dyDescent="0.25">
      <c r="P60" s="8" t="s">
        <v>54</v>
      </c>
      <c r="X60" t="s">
        <v>871</v>
      </c>
      <c r="Y60" t="s">
        <v>433</v>
      </c>
      <c r="Z60" t="s">
        <v>878</v>
      </c>
      <c r="AA60" t="s">
        <v>439</v>
      </c>
      <c r="AC60">
        <v>1</v>
      </c>
      <c r="AD60" t="s">
        <v>447</v>
      </c>
    </row>
    <row r="61" spans="16:30" x14ac:dyDescent="0.25">
      <c r="P61" s="8" t="s">
        <v>54</v>
      </c>
      <c r="X61" t="s">
        <v>871</v>
      </c>
      <c r="Y61" t="s">
        <v>434</v>
      </c>
      <c r="Z61" s="40" t="s">
        <v>875</v>
      </c>
      <c r="AA61" t="s">
        <v>447</v>
      </c>
    </row>
    <row r="62" spans="16:30" x14ac:dyDescent="0.25">
      <c r="P62" s="8" t="s">
        <v>54</v>
      </c>
      <c r="X62" t="s">
        <v>871</v>
      </c>
      <c r="Y62" t="s">
        <v>423</v>
      </c>
      <c r="Z62" t="s">
        <v>872</v>
      </c>
      <c r="AA62" t="s">
        <v>439</v>
      </c>
      <c r="AB62" t="s">
        <v>439</v>
      </c>
    </row>
    <row r="63" spans="16:30" x14ac:dyDescent="0.25">
      <c r="P63" s="8" t="s">
        <v>54</v>
      </c>
      <c r="X63" t="s">
        <v>871</v>
      </c>
      <c r="Y63" t="s">
        <v>441</v>
      </c>
      <c r="Z63" t="s">
        <v>872</v>
      </c>
      <c r="AA63" t="s">
        <v>439</v>
      </c>
      <c r="AB63" t="s">
        <v>439</v>
      </c>
    </row>
    <row r="64" spans="16:30" x14ac:dyDescent="0.25">
      <c r="P64" s="8" t="s">
        <v>54</v>
      </c>
      <c r="X64" t="s">
        <v>871</v>
      </c>
      <c r="Y64" t="s">
        <v>442</v>
      </c>
      <c r="Z64" t="s">
        <v>872</v>
      </c>
      <c r="AA64" t="s">
        <v>872</v>
      </c>
    </row>
    <row r="65" spans="16:42" x14ac:dyDescent="0.25">
      <c r="P65" s="8" t="s">
        <v>54</v>
      </c>
      <c r="X65" t="s">
        <v>871</v>
      </c>
      <c r="Y65" t="s">
        <v>443</v>
      </c>
      <c r="Z65" t="s">
        <v>455</v>
      </c>
      <c r="AA65" t="s">
        <v>439</v>
      </c>
    </row>
    <row r="66" spans="16:42" x14ac:dyDescent="0.25">
      <c r="P66" s="8" t="s">
        <v>54</v>
      </c>
      <c r="X66" t="s">
        <v>871</v>
      </c>
      <c r="Y66" t="s">
        <v>432</v>
      </c>
      <c r="Z66" t="s">
        <v>879</v>
      </c>
      <c r="AA66" t="s">
        <v>439</v>
      </c>
      <c r="AB66" t="s">
        <v>439</v>
      </c>
    </row>
    <row r="67" spans="16:42" x14ac:dyDescent="0.25">
      <c r="P67" s="8" t="s">
        <v>54</v>
      </c>
      <c r="X67" t="s">
        <v>895</v>
      </c>
      <c r="Y67" t="s">
        <v>433</v>
      </c>
      <c r="Z67" t="s">
        <v>897</v>
      </c>
      <c r="AA67" t="s">
        <v>439</v>
      </c>
      <c r="AC67">
        <v>1</v>
      </c>
      <c r="AD67" t="s">
        <v>898</v>
      </c>
    </row>
    <row r="68" spans="16:42" x14ac:dyDescent="0.25">
      <c r="P68" s="8" t="s">
        <v>54</v>
      </c>
      <c r="X68" t="s">
        <v>895</v>
      </c>
      <c r="Y68" t="s">
        <v>434</v>
      </c>
      <c r="Z68" s="40" t="s">
        <v>899</v>
      </c>
      <c r="AA68" t="s">
        <v>439</v>
      </c>
    </row>
    <row r="69" spans="16:42" x14ac:dyDescent="0.25">
      <c r="P69" s="8" t="s">
        <v>54</v>
      </c>
      <c r="X69" t="s">
        <v>895</v>
      </c>
      <c r="Y69" t="s">
        <v>423</v>
      </c>
      <c r="Z69" t="s">
        <v>900</v>
      </c>
      <c r="AA69" t="s">
        <v>439</v>
      </c>
      <c r="AB69" t="s">
        <v>439</v>
      </c>
      <c r="AP69" s="44"/>
    </row>
    <row r="70" spans="16:42" x14ac:dyDescent="0.25">
      <c r="P70" s="8" t="s">
        <v>54</v>
      </c>
      <c r="X70" t="s">
        <v>895</v>
      </c>
      <c r="Y70" t="s">
        <v>441</v>
      </c>
      <c r="Z70" t="s">
        <v>900</v>
      </c>
      <c r="AA70" t="s">
        <v>439</v>
      </c>
      <c r="AB70" t="s">
        <v>439</v>
      </c>
    </row>
    <row r="71" spans="16:42" x14ac:dyDescent="0.25">
      <c r="P71" s="8" t="s">
        <v>54</v>
      </c>
      <c r="X71" t="s">
        <v>895</v>
      </c>
      <c r="Y71" t="s">
        <v>442</v>
      </c>
      <c r="Z71" t="s">
        <v>900</v>
      </c>
      <c r="AA71" t="s">
        <v>900</v>
      </c>
    </row>
    <row r="72" spans="16:42" x14ac:dyDescent="0.25">
      <c r="P72" s="8" t="s">
        <v>54</v>
      </c>
      <c r="X72" t="s">
        <v>895</v>
      </c>
      <c r="Y72" t="s">
        <v>443</v>
      </c>
      <c r="Z72" t="s">
        <v>901</v>
      </c>
      <c r="AA72" t="s">
        <v>439</v>
      </c>
    </row>
    <row r="73" spans="16:42" x14ac:dyDescent="0.25">
      <c r="P73" s="8" t="s">
        <v>54</v>
      </c>
      <c r="X73" t="s">
        <v>895</v>
      </c>
      <c r="Y73" t="s">
        <v>432</v>
      </c>
      <c r="Z73" t="s">
        <v>902</v>
      </c>
      <c r="AA73" t="s">
        <v>488</v>
      </c>
      <c r="AB73" t="s">
        <v>472</v>
      </c>
    </row>
    <row r="74" spans="16:42" x14ac:dyDescent="0.25">
      <c r="P74" s="8" t="s">
        <v>54</v>
      </c>
      <c r="X74" t="s">
        <v>896</v>
      </c>
      <c r="Y74" t="s">
        <v>433</v>
      </c>
      <c r="Z74" t="s">
        <v>903</v>
      </c>
      <c r="AA74" t="s">
        <v>439</v>
      </c>
      <c r="AC74">
        <v>1</v>
      </c>
      <c r="AD74" t="s">
        <v>455</v>
      </c>
    </row>
    <row r="75" spans="16:42" x14ac:dyDescent="0.25">
      <c r="P75" s="8" t="s">
        <v>54</v>
      </c>
      <c r="X75" t="s">
        <v>896</v>
      </c>
      <c r="Y75" t="s">
        <v>434</v>
      </c>
      <c r="Z75" t="s">
        <v>904</v>
      </c>
      <c r="AA75" t="s">
        <v>439</v>
      </c>
    </row>
    <row r="76" spans="16:42" x14ac:dyDescent="0.25">
      <c r="P76" s="8" t="s">
        <v>54</v>
      </c>
      <c r="X76" t="s">
        <v>896</v>
      </c>
      <c r="Y76" t="s">
        <v>423</v>
      </c>
      <c r="Z76" t="s">
        <v>905</v>
      </c>
      <c r="AA76" t="s">
        <v>439</v>
      </c>
      <c r="AB76" t="s">
        <v>439</v>
      </c>
    </row>
    <row r="77" spans="16:42" x14ac:dyDescent="0.25">
      <c r="P77" s="8" t="s">
        <v>54</v>
      </c>
      <c r="X77" t="s">
        <v>896</v>
      </c>
      <c r="Y77" t="s">
        <v>441</v>
      </c>
      <c r="Z77" t="s">
        <v>905</v>
      </c>
      <c r="AA77" t="s">
        <v>439</v>
      </c>
      <c r="AB77" t="s">
        <v>439</v>
      </c>
    </row>
    <row r="78" spans="16:42" x14ac:dyDescent="0.25">
      <c r="P78" s="8" t="s">
        <v>54</v>
      </c>
      <c r="X78" t="s">
        <v>896</v>
      </c>
      <c r="Y78" t="s">
        <v>442</v>
      </c>
      <c r="Z78" t="s">
        <v>905</v>
      </c>
      <c r="AA78" t="s">
        <v>905</v>
      </c>
    </row>
    <row r="79" spans="16:42" x14ac:dyDescent="0.25">
      <c r="P79" s="8" t="s">
        <v>54</v>
      </c>
      <c r="X79" t="s">
        <v>896</v>
      </c>
      <c r="Y79" t="s">
        <v>443</v>
      </c>
      <c r="Z79" t="s">
        <v>906</v>
      </c>
      <c r="AA79" t="s">
        <v>439</v>
      </c>
    </row>
    <row r="80" spans="16:42" x14ac:dyDescent="0.25">
      <c r="P80" s="8" t="s">
        <v>54</v>
      </c>
      <c r="X80" t="s">
        <v>896</v>
      </c>
      <c r="Y80" t="s">
        <v>432</v>
      </c>
      <c r="Z80" t="s">
        <v>907</v>
      </c>
      <c r="AA80" t="s">
        <v>439</v>
      </c>
      <c r="AB80" t="s">
        <v>445</v>
      </c>
    </row>
    <row r="81" spans="16:30" x14ac:dyDescent="0.25">
      <c r="P81" s="8" t="s">
        <v>54</v>
      </c>
      <c r="X81" t="s">
        <v>1076</v>
      </c>
      <c r="Y81" t="s">
        <v>433</v>
      </c>
      <c r="Z81" t="s">
        <v>908</v>
      </c>
      <c r="AA81" t="s">
        <v>439</v>
      </c>
      <c r="AC81">
        <v>1</v>
      </c>
      <c r="AD81" t="s">
        <v>455</v>
      </c>
    </row>
    <row r="82" spans="16:30" x14ac:dyDescent="0.25">
      <c r="P82" s="8" t="s">
        <v>54</v>
      </c>
      <c r="X82" t="s">
        <v>1076</v>
      </c>
      <c r="Y82" t="s">
        <v>434</v>
      </c>
      <c r="Z82" t="s">
        <v>904</v>
      </c>
      <c r="AA82" t="s">
        <v>439</v>
      </c>
    </row>
    <row r="83" spans="16:30" x14ac:dyDescent="0.25">
      <c r="P83" s="8" t="s">
        <v>54</v>
      </c>
      <c r="X83" t="s">
        <v>1076</v>
      </c>
      <c r="Y83" t="s">
        <v>423</v>
      </c>
      <c r="Z83" t="s">
        <v>905</v>
      </c>
      <c r="AA83" t="s">
        <v>439</v>
      </c>
      <c r="AB83" t="s">
        <v>439</v>
      </c>
    </row>
    <row r="84" spans="16:30" x14ac:dyDescent="0.25">
      <c r="P84" s="8" t="s">
        <v>54</v>
      </c>
      <c r="X84" t="s">
        <v>1076</v>
      </c>
      <c r="Y84" t="s">
        <v>441</v>
      </c>
      <c r="Z84" t="s">
        <v>905</v>
      </c>
      <c r="AA84" t="s">
        <v>439</v>
      </c>
      <c r="AB84" t="s">
        <v>439</v>
      </c>
    </row>
    <row r="85" spans="16:30" x14ac:dyDescent="0.25">
      <c r="P85" s="8" t="s">
        <v>54</v>
      </c>
      <c r="X85" t="s">
        <v>1076</v>
      </c>
      <c r="Y85" t="s">
        <v>442</v>
      </c>
      <c r="Z85" t="s">
        <v>905</v>
      </c>
      <c r="AA85" t="s">
        <v>905</v>
      </c>
    </row>
    <row r="86" spans="16:30" x14ac:dyDescent="0.25">
      <c r="P86" s="8" t="s">
        <v>54</v>
      </c>
      <c r="X86" t="s">
        <v>1076</v>
      </c>
      <c r="Y86" t="s">
        <v>443</v>
      </c>
      <c r="Z86" t="s">
        <v>909</v>
      </c>
      <c r="AA86" t="s">
        <v>447</v>
      </c>
    </row>
    <row r="87" spans="16:30" x14ac:dyDescent="0.25">
      <c r="P87" s="8" t="s">
        <v>54</v>
      </c>
      <c r="X87" t="s">
        <v>1076</v>
      </c>
      <c r="Y87" t="s">
        <v>432</v>
      </c>
      <c r="Z87" t="s">
        <v>910</v>
      </c>
      <c r="AA87" t="s">
        <v>447</v>
      </c>
      <c r="AB87" t="s">
        <v>445</v>
      </c>
    </row>
    <row r="88" spans="16:30" x14ac:dyDescent="0.25">
      <c r="P88" s="8" t="s">
        <v>54</v>
      </c>
      <c r="X88" t="s">
        <v>913</v>
      </c>
      <c r="Y88" t="s">
        <v>433</v>
      </c>
      <c r="Z88" t="s">
        <v>914</v>
      </c>
      <c r="AA88" t="s">
        <v>447</v>
      </c>
      <c r="AC88">
        <v>1</v>
      </c>
      <c r="AD88" t="s">
        <v>455</v>
      </c>
    </row>
    <row r="89" spans="16:30" x14ac:dyDescent="0.25">
      <c r="P89" s="8" t="s">
        <v>54</v>
      </c>
      <c r="X89" t="s">
        <v>913</v>
      </c>
      <c r="Y89" t="s">
        <v>434</v>
      </c>
      <c r="Z89" t="s">
        <v>1012</v>
      </c>
      <c r="AA89" t="s">
        <v>915</v>
      </c>
    </row>
    <row r="90" spans="16:30" x14ac:dyDescent="0.25">
      <c r="P90" s="8" t="s">
        <v>54</v>
      </c>
      <c r="X90" t="s">
        <v>913</v>
      </c>
      <c r="Y90" t="s">
        <v>423</v>
      </c>
      <c r="Z90" t="s">
        <v>914</v>
      </c>
      <c r="AA90" t="s">
        <v>439</v>
      </c>
      <c r="AB90" t="s">
        <v>439</v>
      </c>
    </row>
    <row r="91" spans="16:30" x14ac:dyDescent="0.25">
      <c r="P91" s="8" t="s">
        <v>54</v>
      </c>
      <c r="X91" t="s">
        <v>913</v>
      </c>
      <c r="Y91" t="s">
        <v>441</v>
      </c>
      <c r="Z91" t="s">
        <v>914</v>
      </c>
      <c r="AA91" t="s">
        <v>439</v>
      </c>
      <c r="AB91" t="s">
        <v>439</v>
      </c>
    </row>
    <row r="92" spans="16:30" x14ac:dyDescent="0.25">
      <c r="P92" s="8" t="s">
        <v>54</v>
      </c>
      <c r="X92" t="s">
        <v>913</v>
      </c>
      <c r="Y92" t="s">
        <v>442</v>
      </c>
      <c r="Z92" t="s">
        <v>914</v>
      </c>
      <c r="AA92" t="s">
        <v>914</v>
      </c>
    </row>
    <row r="93" spans="16:30" x14ac:dyDescent="0.25">
      <c r="P93" s="8" t="s">
        <v>54</v>
      </c>
      <c r="X93" t="s">
        <v>913</v>
      </c>
      <c r="Y93" t="s">
        <v>443</v>
      </c>
      <c r="Z93" t="s">
        <v>447</v>
      </c>
      <c r="AA93" t="s">
        <v>910</v>
      </c>
    </row>
    <row r="94" spans="16:30" x14ac:dyDescent="0.25">
      <c r="P94" s="8" t="s">
        <v>54</v>
      </c>
      <c r="X94" t="s">
        <v>913</v>
      </c>
      <c r="Y94" t="s">
        <v>432</v>
      </c>
      <c r="Z94" t="s">
        <v>910</v>
      </c>
      <c r="AA94" t="s">
        <v>447</v>
      </c>
      <c r="AB94" t="s">
        <v>914</v>
      </c>
    </row>
    <row r="95" spans="16:30" x14ac:dyDescent="0.25">
      <c r="P95" s="8" t="s">
        <v>54</v>
      </c>
    </row>
    <row r="96" spans="16:30" x14ac:dyDescent="0.25">
      <c r="P96" s="8" t="s">
        <v>54</v>
      </c>
    </row>
    <row r="97" spans="16:16" x14ac:dyDescent="0.25">
      <c r="P97" s="8" t="s">
        <v>54</v>
      </c>
    </row>
    <row r="98" spans="16:16" x14ac:dyDescent="0.25">
      <c r="P98" s="8" t="s">
        <v>54</v>
      </c>
    </row>
    <row r="99" spans="16:16" x14ac:dyDescent="0.25">
      <c r="P99" s="8" t="s">
        <v>54</v>
      </c>
    </row>
    <row r="100" spans="16:16" x14ac:dyDescent="0.25">
      <c r="P100" s="8" t="s">
        <v>54</v>
      </c>
    </row>
    <row r="101" spans="16:16" x14ac:dyDescent="0.25">
      <c r="P101" s="8" t="s">
        <v>54</v>
      </c>
    </row>
    <row r="102" spans="16:16" x14ac:dyDescent="0.25">
      <c r="P102" s="8" t="s">
        <v>54</v>
      </c>
    </row>
    <row r="103" spans="16:16" x14ac:dyDescent="0.25">
      <c r="P103" s="8" t="s">
        <v>54</v>
      </c>
    </row>
    <row r="104" spans="16:16" x14ac:dyDescent="0.25">
      <c r="P104" s="8" t="s">
        <v>54</v>
      </c>
    </row>
    <row r="105" spans="16:16" x14ac:dyDescent="0.25">
      <c r="P105" s="8" t="s">
        <v>54</v>
      </c>
    </row>
    <row r="106" spans="16:16" x14ac:dyDescent="0.25">
      <c r="P106" s="8" t="s">
        <v>54</v>
      </c>
    </row>
    <row r="107" spans="16:16" x14ac:dyDescent="0.25">
      <c r="P107" s="8" t="s">
        <v>54</v>
      </c>
    </row>
    <row r="108" spans="16:16" x14ac:dyDescent="0.25">
      <c r="P108" s="8" t="s">
        <v>54</v>
      </c>
    </row>
    <row r="109" spans="16:16" x14ac:dyDescent="0.25">
      <c r="P109" s="8" t="s">
        <v>54</v>
      </c>
    </row>
    <row r="110" spans="16:16" x14ac:dyDescent="0.25">
      <c r="P110" s="8" t="s">
        <v>54</v>
      </c>
    </row>
    <row r="111" spans="16:16" x14ac:dyDescent="0.25">
      <c r="P111" s="8" t="s">
        <v>54</v>
      </c>
    </row>
    <row r="112" spans="16:16" x14ac:dyDescent="0.25">
      <c r="P112" s="8" t="s">
        <v>54</v>
      </c>
    </row>
    <row r="113" spans="16:16" x14ac:dyDescent="0.25">
      <c r="P113" s="8" t="s">
        <v>54</v>
      </c>
    </row>
    <row r="138" spans="9:9" x14ac:dyDescent="0.25">
      <c r="I138" s="4"/>
    </row>
  </sheetData>
  <dataConsolidate/>
  <phoneticPr fontId="13" type="noConversion"/>
  <conditionalFormatting sqref="B10:B15">
    <cfRule type="colorScale" priority="5">
      <colorScale>
        <cfvo type="num" val="0"/>
        <cfvo type="num" val="10"/>
        <cfvo type="num" val="20"/>
        <color rgb="FF0070C0"/>
        <color rgb="FF9751CB"/>
        <color rgb="FFFFC000"/>
      </colorScale>
    </cfRule>
  </conditionalFormatting>
  <conditionalFormatting sqref="C21 S40:S1048576 O1 O4:O8 O25:O1048576 O10:O13 O16 S2:S9 S11:S13 S15:S32">
    <cfRule type="cellIs" dxfId="394" priority="3" operator="equal">
      <formula>"No"</formula>
    </cfRule>
    <cfRule type="cellIs" dxfId="393" priority="4" operator="equal">
      <formula>"Yes"</formula>
    </cfRule>
  </conditionalFormatting>
  <conditionalFormatting sqref="A19">
    <cfRule type="colorScale" priority="79">
      <colorScale>
        <cfvo type="num" val="0"/>
        <cfvo type="num" val="$A$21/2"/>
        <cfvo type="num" val="$A$21"/>
        <color rgb="FFFF0000"/>
        <color rgb="FFFFEB84"/>
        <color rgb="FF00B050"/>
      </colorScale>
    </cfRule>
  </conditionalFormatting>
  <hyperlinks>
    <hyperlink ref="E14" r:id="rId1" location="content" display="Condition" xr:uid="{E08CA478-53F5-47A1-B474-EDB3AF48F26E}"/>
  </hyperlinks>
  <pageMargins left="0.7" right="0.7" top="0.75" bottom="0.75" header="0.3" footer="0.3"/>
  <pageSetup orientation="portrait" horizontalDpi="300" verticalDpi="300" r:id="rId2"/>
  <drawing r:id="rId3"/>
  <tableParts count="30">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4073F-A19D-4BBB-8E49-384A7D2C4CE3}">
  <sheetPr codeName="Background"/>
  <dimension ref="B1:I40"/>
  <sheetViews>
    <sheetView showRowColHeaders="0" workbookViewId="0">
      <selection activeCell="C3" sqref="C3"/>
    </sheetView>
  </sheetViews>
  <sheetFormatPr defaultRowHeight="15" x14ac:dyDescent="0.25"/>
  <cols>
    <col min="1" max="1" width="3.7109375" customWidth="1"/>
    <col min="2" max="2" width="90.7109375" customWidth="1"/>
    <col min="5" max="5" width="3.7109375" customWidth="1"/>
    <col min="6" max="6" width="60.7109375" customWidth="1"/>
  </cols>
  <sheetData>
    <row r="1" spans="2:9" x14ac:dyDescent="0.25">
      <c r="B1" s="42" t="s">
        <v>68</v>
      </c>
      <c r="F1" s="42" t="s">
        <v>79</v>
      </c>
    </row>
    <row r="2" spans="2:9" x14ac:dyDescent="0.25">
      <c r="G2" s="9" t="s">
        <v>60</v>
      </c>
      <c r="H2" s="9" t="s">
        <v>807</v>
      </c>
    </row>
    <row r="3" spans="2:9" x14ac:dyDescent="0.25">
      <c r="G3" s="5"/>
      <c r="H3" s="5"/>
    </row>
    <row r="4" spans="2:9" x14ac:dyDescent="0.25">
      <c r="G4" s="9" t="s">
        <v>62</v>
      </c>
      <c r="H4" s="9" t="s">
        <v>63</v>
      </c>
    </row>
    <row r="5" spans="2:9" x14ac:dyDescent="0.25">
      <c r="G5" s="5"/>
      <c r="H5" s="5"/>
    </row>
    <row r="6" spans="2:9" x14ac:dyDescent="0.25">
      <c r="G6" s="9" t="s">
        <v>61</v>
      </c>
      <c r="H6" s="9" t="s">
        <v>64</v>
      </c>
      <c r="I6" s="9" t="s">
        <v>65</v>
      </c>
    </row>
    <row r="7" spans="2:9" x14ac:dyDescent="0.25">
      <c r="G7" s="5"/>
      <c r="H7" s="5"/>
      <c r="I7" s="5"/>
    </row>
    <row r="8" spans="2:9" ht="5.0999999999999996" customHeight="1" x14ac:dyDescent="0.25"/>
    <row r="9" spans="2:9" x14ac:dyDescent="0.25">
      <c r="F9" s="42" t="s">
        <v>71</v>
      </c>
    </row>
    <row r="16" spans="2:9" ht="5.0999999999999996" customHeight="1" x14ac:dyDescent="0.25"/>
    <row r="17" spans="6:6" x14ac:dyDescent="0.25">
      <c r="F17" s="12" t="s">
        <v>72</v>
      </c>
    </row>
    <row r="24" spans="6:6" ht="5.0999999999999996" customHeight="1" x14ac:dyDescent="0.25"/>
    <row r="25" spans="6:6" x14ac:dyDescent="0.25">
      <c r="F25" s="13" t="s">
        <v>73</v>
      </c>
    </row>
    <row r="32" spans="6:6" ht="5.0999999999999996" customHeight="1" x14ac:dyDescent="0.25"/>
    <row r="33" spans="2:6" x14ac:dyDescent="0.25">
      <c r="F33" s="14" t="s">
        <v>74</v>
      </c>
    </row>
    <row r="40" spans="2:6" x14ac:dyDescent="0.25">
      <c r="B40" t="s">
        <v>98</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539C1-944A-4F19-89C6-CA0B77A572EE}">
  <sheetPr codeName="Spells">
    <pageSetUpPr autoPageBreaks="0"/>
  </sheetPr>
  <dimension ref="A1:Q931"/>
  <sheetViews>
    <sheetView showRowColHeaders="0" zoomScaleNormal="100" workbookViewId="0">
      <pane ySplit="7" topLeftCell="A8" activePane="bottomLeft" state="frozen"/>
      <selection pane="bottomLeft" activeCell="C7" sqref="C7"/>
    </sheetView>
  </sheetViews>
  <sheetFormatPr defaultColWidth="8.85546875" defaultRowHeight="15" x14ac:dyDescent="0.25"/>
  <cols>
    <col min="1" max="2" width="16.7109375" style="18" customWidth="1"/>
    <col min="3" max="3" width="16.7109375" style="19" customWidth="1"/>
    <col min="4" max="9" width="16.7109375" style="18" customWidth="1"/>
    <col min="10" max="11" width="8.7109375" style="18" customWidth="1"/>
    <col min="12" max="12" width="24.7109375" style="18" customWidth="1"/>
    <col min="13" max="13" width="8.7109375" style="18" customWidth="1"/>
    <col min="14" max="14" width="32.5703125" style="18" hidden="1" customWidth="1"/>
    <col min="15" max="15" width="50.7109375" style="18" customWidth="1"/>
    <col min="16" max="16384" width="8.85546875" style="18"/>
  </cols>
  <sheetData>
    <row r="1" spans="1:17" ht="15.75" thickBot="1" x14ac:dyDescent="0.3">
      <c r="A1" s="18" t="s">
        <v>4</v>
      </c>
      <c r="B1" s="18" t="s">
        <v>9</v>
      </c>
      <c r="C1" s="19" t="s">
        <v>10</v>
      </c>
      <c r="D1" s="20" t="s">
        <v>12</v>
      </c>
      <c r="E1" s="20" t="s">
        <v>11</v>
      </c>
      <c r="F1" s="18" t="s">
        <v>4</v>
      </c>
      <c r="G1" s="18" t="s">
        <v>9</v>
      </c>
      <c r="H1" s="18" t="s">
        <v>10</v>
      </c>
      <c r="I1" s="21"/>
      <c r="J1" s="21"/>
      <c r="K1" s="21"/>
      <c r="L1" s="21"/>
      <c r="M1" s="21" t="str">
        <f>'PC Template'!A19&amp;" HP"</f>
        <v xml:space="preserve"> HP</v>
      </c>
      <c r="N1" s="21"/>
      <c r="O1" s="21"/>
    </row>
    <row r="2" spans="1:17" x14ac:dyDescent="0.25">
      <c r="A2" s="22">
        <v>1</v>
      </c>
      <c r="B2" s="43">
        <v>0</v>
      </c>
      <c r="C2" s="19">
        <v>0</v>
      </c>
      <c r="D2" s="23"/>
      <c r="E2" s="23"/>
      <c r="F2" s="22">
        <v>6</v>
      </c>
      <c r="G2" s="43">
        <v>0</v>
      </c>
      <c r="H2" s="18">
        <v>0</v>
      </c>
      <c r="I2" s="21"/>
      <c r="J2" s="21"/>
      <c r="K2" s="21"/>
      <c r="L2" s="21"/>
      <c r="M2" s="21" t="str">
        <f>'PC Template'!B19&amp;" AC"</f>
        <v xml:space="preserve"> AC</v>
      </c>
      <c r="N2" s="21"/>
      <c r="O2" s="21"/>
    </row>
    <row r="3" spans="1:17" ht="15.75" thickBot="1" x14ac:dyDescent="0.3">
      <c r="A3" s="22">
        <v>2</v>
      </c>
      <c r="B3" s="43">
        <v>0</v>
      </c>
      <c r="C3" s="19">
        <v>0</v>
      </c>
      <c r="D3" s="20" t="s">
        <v>15</v>
      </c>
      <c r="E3" s="20" t="s">
        <v>16</v>
      </c>
      <c r="F3" s="22">
        <v>7</v>
      </c>
      <c r="G3" s="43">
        <v>0</v>
      </c>
      <c r="H3" s="18">
        <v>0</v>
      </c>
      <c r="I3" s="34"/>
      <c r="J3" s="34"/>
      <c r="K3" s="21"/>
      <c r="L3" s="21"/>
      <c r="M3" s="21" t="str">
        <f>'PC Template'!C19&amp;" Speed"</f>
        <v xml:space="preserve"> Speed</v>
      </c>
      <c r="N3" s="21"/>
      <c r="O3" s="21"/>
    </row>
    <row r="4" spans="1:17" x14ac:dyDescent="0.25">
      <c r="A4" s="22">
        <v>3</v>
      </c>
      <c r="B4" s="43">
        <v>0</v>
      </c>
      <c r="C4" s="19">
        <v>0</v>
      </c>
      <c r="D4" s="24">
        <f>COUNTIF(A7:A1188,"Yes")</f>
        <v>0</v>
      </c>
      <c r="E4" s="25">
        <f>'PC Template'!C13+'PC Template'!B36</f>
        <v>0</v>
      </c>
      <c r="F4" s="22">
        <v>8</v>
      </c>
      <c r="G4" s="43">
        <v>0</v>
      </c>
      <c r="H4" s="18">
        <v>0</v>
      </c>
      <c r="I4" s="21"/>
      <c r="J4" s="21"/>
      <c r="K4" s="21"/>
      <c r="L4" s="21"/>
      <c r="M4" s="21" t="str">
        <f>COUNTA(SpellInfo[Spell Name])&amp;" Known spells"</f>
        <v>0 Known spells</v>
      </c>
      <c r="N4" s="21"/>
      <c r="O4" s="21"/>
    </row>
    <row r="5" spans="1:17" ht="15.75" thickBot="1" x14ac:dyDescent="0.3">
      <c r="A5" s="22">
        <v>4</v>
      </c>
      <c r="B5" s="43">
        <v>0</v>
      </c>
      <c r="C5" s="19">
        <v>0</v>
      </c>
      <c r="D5" s="26" t="s">
        <v>96</v>
      </c>
      <c r="E5" s="26" t="s">
        <v>95</v>
      </c>
      <c r="F5" s="22">
        <v>9</v>
      </c>
      <c r="G5" s="43">
        <v>0</v>
      </c>
      <c r="H5" s="18">
        <v>0</v>
      </c>
      <c r="I5" s="34"/>
      <c r="J5" s="34"/>
      <c r="K5" s="21"/>
      <c r="L5" s="21"/>
      <c r="M5" s="21" t="str">
        <f>SUM(B2:B6,G2,G3,G4,G5)&amp;" Spell slots remain"</f>
        <v>0 Spell slots remain</v>
      </c>
      <c r="N5" s="21"/>
      <c r="O5" s="21"/>
    </row>
    <row r="6" spans="1:17" x14ac:dyDescent="0.25">
      <c r="A6" s="22">
        <v>5</v>
      </c>
      <c r="B6" s="43">
        <v>0</v>
      </c>
      <c r="C6" s="19">
        <v>0</v>
      </c>
      <c r="D6" s="27" t="s">
        <v>17</v>
      </c>
      <c r="E6" s="18">
        <v>1</v>
      </c>
      <c r="F6" s="28" t="b">
        <v>0</v>
      </c>
      <c r="G6" s="18" t="s">
        <v>809</v>
      </c>
      <c r="I6" s="21"/>
      <c r="J6" s="21"/>
      <c r="K6" s="21"/>
      <c r="L6" s="21"/>
      <c r="M6" s="21" t="e" cm="1">
        <f t="array" ref="M6">"Fav School: "&amp;INDEX(SpellInfo[School],MODE(MATCH(SpellInfo[School],SpellInfo[School],0)))</f>
        <v>#N/A</v>
      </c>
      <c r="N6" s="21"/>
      <c r="O6" s="21"/>
    </row>
    <row r="7" spans="1:17" x14ac:dyDescent="0.25">
      <c r="A7" s="18" t="s">
        <v>5</v>
      </c>
      <c r="B7" s="18" t="s">
        <v>4</v>
      </c>
      <c r="C7" s="19" t="s">
        <v>0</v>
      </c>
      <c r="D7" s="18" t="s">
        <v>1</v>
      </c>
      <c r="E7" s="18" t="s">
        <v>19</v>
      </c>
      <c r="F7" s="18" t="s">
        <v>21</v>
      </c>
      <c r="G7" s="18" t="s">
        <v>2</v>
      </c>
      <c r="H7" s="18" t="s">
        <v>3</v>
      </c>
      <c r="I7" s="18" t="s">
        <v>7</v>
      </c>
      <c r="J7" s="18" t="s">
        <v>14</v>
      </c>
      <c r="K7" s="18" t="s">
        <v>6</v>
      </c>
      <c r="L7" s="18" t="s">
        <v>198</v>
      </c>
      <c r="M7" s="18" t="s">
        <v>13</v>
      </c>
      <c r="N7" s="18" t="s">
        <v>59</v>
      </c>
      <c r="O7" s="18" t="s">
        <v>28</v>
      </c>
    </row>
    <row r="8" spans="1:17" x14ac:dyDescent="0.25">
      <c r="C8" s="29"/>
      <c r="E8" s="30"/>
      <c r="J8" s="45"/>
      <c r="L8" s="19"/>
      <c r="Q8"/>
    </row>
    <row r="9" spans="1:17" x14ac:dyDescent="0.25">
      <c r="C9" s="29"/>
      <c r="E9" s="30"/>
      <c r="J9"/>
      <c r="L9" s="19"/>
      <c r="Q9"/>
    </row>
    <row r="10" spans="1:17" x14ac:dyDescent="0.25">
      <c r="C10" s="29"/>
      <c r="E10" s="30"/>
      <c r="J10"/>
      <c r="L10" s="19"/>
      <c r="Q10"/>
    </row>
    <row r="11" spans="1:17" x14ac:dyDescent="0.25">
      <c r="A11" s="35" t="s">
        <v>200</v>
      </c>
      <c r="B11" s="35"/>
      <c r="C11" s="35"/>
      <c r="D11" s="35"/>
      <c r="E11" s="35"/>
      <c r="F11" s="35"/>
      <c r="G11" s="35"/>
      <c r="H11" s="35"/>
      <c r="I11" s="35"/>
      <c r="J11" s="35"/>
      <c r="K11" s="35"/>
      <c r="L11" s="35"/>
      <c r="M11" s="35"/>
      <c r="N11" s="35"/>
      <c r="O11" s="35"/>
      <c r="Q11"/>
    </row>
    <row r="12" spans="1:17" x14ac:dyDescent="0.25">
      <c r="A12" s="18" t="s">
        <v>199</v>
      </c>
      <c r="C12" s="18"/>
      <c r="Q12"/>
    </row>
    <row r="13" spans="1:17" x14ac:dyDescent="0.25">
      <c r="Q13"/>
    </row>
    <row r="14" spans="1:17" x14ac:dyDescent="0.25">
      <c r="A14" s="18" t="s">
        <v>197</v>
      </c>
      <c r="B14" s="18" t="s">
        <v>4</v>
      </c>
      <c r="C14" s="18" t="s">
        <v>0</v>
      </c>
      <c r="D14" s="18" t="s">
        <v>1</v>
      </c>
      <c r="E14" s="18" t="s">
        <v>19</v>
      </c>
      <c r="F14" s="18" t="s">
        <v>21</v>
      </c>
      <c r="G14" s="18" t="s">
        <v>2</v>
      </c>
      <c r="H14" s="18" t="s">
        <v>3</v>
      </c>
      <c r="I14" s="18" t="s">
        <v>7</v>
      </c>
      <c r="J14" s="18" t="s">
        <v>14</v>
      </c>
      <c r="K14" s="18" t="s">
        <v>6</v>
      </c>
      <c r="L14" s="18" t="s">
        <v>198</v>
      </c>
      <c r="M14" s="18" t="s">
        <v>196</v>
      </c>
      <c r="N14" t="s">
        <v>59</v>
      </c>
      <c r="O14" s="18" t="s">
        <v>28</v>
      </c>
      <c r="Q14"/>
    </row>
    <row r="15" spans="1:17" x14ac:dyDescent="0.25">
      <c r="A15" s="18" t="s">
        <v>193</v>
      </c>
      <c r="B15" s="38">
        <v>0</v>
      </c>
      <c r="C15" s="37" t="s">
        <v>110</v>
      </c>
      <c r="D15" s="39" t="s">
        <v>18</v>
      </c>
      <c r="E15" s="30" t="s">
        <v>111</v>
      </c>
      <c r="F15" s="18" t="s">
        <v>17</v>
      </c>
      <c r="G15" s="18">
        <v>120</v>
      </c>
      <c r="H15" s="18" t="s">
        <v>112</v>
      </c>
      <c r="I15" s="18" t="s">
        <v>311</v>
      </c>
      <c r="J15" t="s">
        <v>17</v>
      </c>
      <c r="L15" s="19" t="s">
        <v>114</v>
      </c>
      <c r="M15" s="33" t="s">
        <v>196</v>
      </c>
      <c r="N15"/>
      <c r="O15" s="18" t="s">
        <v>801</v>
      </c>
      <c r="Q15"/>
    </row>
    <row r="16" spans="1:17" x14ac:dyDescent="0.25">
      <c r="A16" s="18" t="s">
        <v>194</v>
      </c>
      <c r="B16" s="38">
        <v>0</v>
      </c>
      <c r="C16" s="37" t="s">
        <v>115</v>
      </c>
      <c r="D16" s="39" t="s">
        <v>18</v>
      </c>
      <c r="E16" s="30" t="s">
        <v>100</v>
      </c>
      <c r="F16" s="18" t="s">
        <v>17</v>
      </c>
      <c r="G16" s="18">
        <v>30</v>
      </c>
      <c r="H16" s="18" t="s">
        <v>116</v>
      </c>
      <c r="J16" t="s">
        <v>17</v>
      </c>
      <c r="L16" s="19" t="s">
        <v>114</v>
      </c>
      <c r="M16" s="33" t="s">
        <v>196</v>
      </c>
      <c r="N16"/>
      <c r="O16" s="18" t="s">
        <v>195</v>
      </c>
      <c r="Q16"/>
    </row>
    <row r="17" spans="1:17" x14ac:dyDescent="0.25">
      <c r="A17" s="18" t="s">
        <v>201</v>
      </c>
      <c r="B17" s="38">
        <v>0</v>
      </c>
      <c r="C17" s="37" t="s">
        <v>117</v>
      </c>
      <c r="D17" s="39" t="s">
        <v>18</v>
      </c>
      <c r="E17" s="30" t="s">
        <v>118</v>
      </c>
      <c r="F17" s="18" t="s">
        <v>17</v>
      </c>
      <c r="G17" s="18">
        <v>120</v>
      </c>
      <c r="H17" s="18" t="s">
        <v>119</v>
      </c>
      <c r="J17" t="s">
        <v>17</v>
      </c>
      <c r="L17" s="19" t="s">
        <v>22</v>
      </c>
      <c r="M17" s="33" t="s">
        <v>196</v>
      </c>
      <c r="N17"/>
      <c r="O17" s="18" t="s">
        <v>202</v>
      </c>
      <c r="Q17"/>
    </row>
    <row r="18" spans="1:17" x14ac:dyDescent="0.25">
      <c r="A18" s="18" t="s">
        <v>204</v>
      </c>
      <c r="B18" s="38">
        <v>0</v>
      </c>
      <c r="C18" s="37" t="s">
        <v>120</v>
      </c>
      <c r="D18" s="39" t="s">
        <v>18</v>
      </c>
      <c r="E18" s="30" t="s">
        <v>118</v>
      </c>
      <c r="F18" s="18" t="s">
        <v>17</v>
      </c>
      <c r="G18" s="18">
        <v>30</v>
      </c>
      <c r="H18" s="18" t="s">
        <v>116</v>
      </c>
      <c r="J18" t="s">
        <v>17</v>
      </c>
      <c r="L18" s="19" t="s">
        <v>121</v>
      </c>
      <c r="M18" s="33" t="s">
        <v>196</v>
      </c>
      <c r="N18"/>
      <c r="O18" s="18" t="s">
        <v>203</v>
      </c>
      <c r="Q18"/>
    </row>
    <row r="19" spans="1:17" x14ac:dyDescent="0.25">
      <c r="A19" s="18" t="s">
        <v>99</v>
      </c>
      <c r="B19" s="38">
        <v>0</v>
      </c>
      <c r="C19" s="37" t="s">
        <v>122</v>
      </c>
      <c r="D19" s="39" t="s">
        <v>18</v>
      </c>
      <c r="E19" s="30" t="s">
        <v>118</v>
      </c>
      <c r="F19" s="18" t="s">
        <v>17</v>
      </c>
      <c r="G19" s="18">
        <v>10</v>
      </c>
      <c r="H19" s="18" t="s">
        <v>123</v>
      </c>
      <c r="J19" t="s">
        <v>17</v>
      </c>
      <c r="L19" s="19" t="s">
        <v>124</v>
      </c>
      <c r="M19" s="33" t="s">
        <v>196</v>
      </c>
      <c r="N19"/>
      <c r="O19" s="18" t="s">
        <v>206</v>
      </c>
      <c r="Q19"/>
    </row>
    <row r="20" spans="1:17" x14ac:dyDescent="0.25">
      <c r="A20" s="18" t="s">
        <v>99</v>
      </c>
      <c r="B20" s="38">
        <v>0</v>
      </c>
      <c r="C20" s="37" t="s">
        <v>104</v>
      </c>
      <c r="D20" s="39" t="s">
        <v>18</v>
      </c>
      <c r="E20" s="30" t="s">
        <v>100</v>
      </c>
      <c r="F20" s="18" t="s">
        <v>17</v>
      </c>
      <c r="G20" s="18">
        <v>30</v>
      </c>
      <c r="H20" s="18" t="s">
        <v>112</v>
      </c>
      <c r="J20" t="s">
        <v>17</v>
      </c>
      <c r="L20" s="19" t="s">
        <v>124</v>
      </c>
      <c r="M20" s="33" t="s">
        <v>196</v>
      </c>
      <c r="N20"/>
      <c r="O20" s="18" t="s">
        <v>205</v>
      </c>
      <c r="Q20"/>
    </row>
    <row r="21" spans="1:17" x14ac:dyDescent="0.25">
      <c r="A21" s="18" t="s">
        <v>194</v>
      </c>
      <c r="B21" s="38">
        <v>0</v>
      </c>
      <c r="C21" s="37" t="s">
        <v>272</v>
      </c>
      <c r="D21" s="39" t="s">
        <v>18</v>
      </c>
      <c r="E21" s="30" t="s">
        <v>118</v>
      </c>
      <c r="F21" s="18" t="s">
        <v>17</v>
      </c>
      <c r="G21" s="18">
        <v>10</v>
      </c>
      <c r="H21" s="18" t="s">
        <v>123</v>
      </c>
      <c r="J21" t="s">
        <v>17</v>
      </c>
      <c r="L21" s="19" t="s">
        <v>114</v>
      </c>
      <c r="M21" s="33" t="s">
        <v>196</v>
      </c>
      <c r="N21"/>
      <c r="O21" s="18" t="s">
        <v>273</v>
      </c>
      <c r="Q21"/>
    </row>
    <row r="22" spans="1:17" x14ac:dyDescent="0.25">
      <c r="A22" s="18" t="s">
        <v>194</v>
      </c>
      <c r="B22" s="38">
        <v>0</v>
      </c>
      <c r="C22" s="37" t="s">
        <v>296</v>
      </c>
      <c r="D22" s="39" t="s">
        <v>18</v>
      </c>
      <c r="E22" s="30" t="s">
        <v>151</v>
      </c>
      <c r="F22" s="18" t="s">
        <v>17</v>
      </c>
      <c r="G22" s="18">
        <v>30</v>
      </c>
      <c r="H22" s="18" t="s">
        <v>116</v>
      </c>
      <c r="J22" t="s">
        <v>17</v>
      </c>
      <c r="L22" s="19" t="s">
        <v>22</v>
      </c>
      <c r="M22" s="33" t="s">
        <v>196</v>
      </c>
      <c r="N22"/>
      <c r="O22" s="18" t="s">
        <v>297</v>
      </c>
      <c r="Q22"/>
    </row>
    <row r="23" spans="1:17" x14ac:dyDescent="0.25">
      <c r="A23" s="18" t="s">
        <v>193</v>
      </c>
      <c r="B23" s="38">
        <v>0</v>
      </c>
      <c r="C23" s="37" t="s">
        <v>298</v>
      </c>
      <c r="D23" s="39" t="s">
        <v>18</v>
      </c>
      <c r="E23" s="30" t="s">
        <v>100</v>
      </c>
      <c r="F23" s="18" t="s">
        <v>17</v>
      </c>
      <c r="G23" s="18">
        <v>60</v>
      </c>
      <c r="H23" s="18" t="s">
        <v>112</v>
      </c>
      <c r="I23" s="18" t="s">
        <v>299</v>
      </c>
      <c r="J23" t="s">
        <v>17</v>
      </c>
      <c r="K23" s="18" t="s">
        <v>160</v>
      </c>
      <c r="L23" s="19" t="s">
        <v>114</v>
      </c>
      <c r="M23" s="33" t="s">
        <v>196</v>
      </c>
      <c r="N23"/>
      <c r="O23" s="18" t="s">
        <v>300</v>
      </c>
      <c r="Q23"/>
    </row>
    <row r="24" spans="1:17" x14ac:dyDescent="0.25">
      <c r="A24" s="18" t="s">
        <v>213</v>
      </c>
      <c r="B24" s="38">
        <v>0</v>
      </c>
      <c r="C24" s="37" t="s">
        <v>301</v>
      </c>
      <c r="D24" s="39" t="s">
        <v>18</v>
      </c>
      <c r="E24" s="30" t="s">
        <v>140</v>
      </c>
      <c r="F24" s="18" t="s">
        <v>17</v>
      </c>
      <c r="G24" s="18">
        <v>120</v>
      </c>
      <c r="H24" s="18" t="s">
        <v>119</v>
      </c>
      <c r="I24" s="18" t="s">
        <v>302</v>
      </c>
      <c r="J24" t="s">
        <v>17</v>
      </c>
      <c r="L24" s="19" t="s">
        <v>114</v>
      </c>
      <c r="M24" s="33" t="s">
        <v>196</v>
      </c>
      <c r="N24"/>
      <c r="O24" s="18" t="s">
        <v>303</v>
      </c>
      <c r="Q24"/>
    </row>
    <row r="25" spans="1:17" x14ac:dyDescent="0.25">
      <c r="A25" s="18" t="s">
        <v>201</v>
      </c>
      <c r="B25" s="38">
        <v>0</v>
      </c>
      <c r="C25" s="37" t="s">
        <v>304</v>
      </c>
      <c r="D25" s="39" t="s">
        <v>18</v>
      </c>
      <c r="E25" s="30" t="s">
        <v>111</v>
      </c>
      <c r="F25" s="18" t="s">
        <v>101</v>
      </c>
      <c r="G25" s="18">
        <v>120</v>
      </c>
      <c r="H25" s="18" t="s">
        <v>116</v>
      </c>
      <c r="J25" t="s">
        <v>17</v>
      </c>
      <c r="L25" s="19" t="s">
        <v>22</v>
      </c>
      <c r="M25" s="33" t="s">
        <v>196</v>
      </c>
      <c r="N25"/>
      <c r="O25" s="18" t="s">
        <v>305</v>
      </c>
      <c r="Q25"/>
    </row>
    <row r="26" spans="1:17" x14ac:dyDescent="0.25">
      <c r="A26" s="18" t="s">
        <v>498</v>
      </c>
      <c r="B26" s="38">
        <v>0</v>
      </c>
      <c r="C26" s="37" t="s">
        <v>306</v>
      </c>
      <c r="D26" s="39" t="s">
        <v>18</v>
      </c>
      <c r="E26" s="30" t="s">
        <v>111</v>
      </c>
      <c r="F26" s="18" t="s">
        <v>17</v>
      </c>
      <c r="G26" s="18" t="s">
        <v>294</v>
      </c>
      <c r="H26" s="18" t="s">
        <v>123</v>
      </c>
      <c r="J26" t="s">
        <v>17</v>
      </c>
      <c r="K26" s="18" t="s">
        <v>160</v>
      </c>
      <c r="L26" s="19" t="s">
        <v>144</v>
      </c>
      <c r="M26" s="33" t="s">
        <v>196</v>
      </c>
      <c r="N26"/>
      <c r="O26" s="18" t="s">
        <v>307</v>
      </c>
      <c r="Q26"/>
    </row>
    <row r="27" spans="1:17" x14ac:dyDescent="0.25">
      <c r="A27" s="18" t="s">
        <v>591</v>
      </c>
      <c r="B27" s="38">
        <v>0</v>
      </c>
      <c r="C27" s="37" t="s">
        <v>308</v>
      </c>
      <c r="D27" s="39" t="s">
        <v>116</v>
      </c>
      <c r="E27" s="30" t="s">
        <v>118</v>
      </c>
      <c r="F27" s="18" t="s">
        <v>17</v>
      </c>
      <c r="G27" s="18" t="s">
        <v>294</v>
      </c>
      <c r="H27" s="18" t="s">
        <v>112</v>
      </c>
      <c r="J27" t="s">
        <v>17</v>
      </c>
      <c r="L27" s="19" t="s">
        <v>22</v>
      </c>
      <c r="M27" s="33" t="s">
        <v>196</v>
      </c>
      <c r="N27"/>
      <c r="O27" s="18" t="s">
        <v>309</v>
      </c>
      <c r="Q27"/>
    </row>
    <row r="28" spans="1:17" x14ac:dyDescent="0.25">
      <c r="A28" s="18" t="s">
        <v>546</v>
      </c>
      <c r="B28" s="38">
        <v>0</v>
      </c>
      <c r="C28" s="37" t="s">
        <v>310</v>
      </c>
      <c r="D28" s="39" t="s">
        <v>18</v>
      </c>
      <c r="E28" s="30" t="s">
        <v>100</v>
      </c>
      <c r="F28" s="18" t="s">
        <v>17</v>
      </c>
      <c r="G28" s="18">
        <v>10</v>
      </c>
      <c r="H28" s="18" t="s">
        <v>112</v>
      </c>
      <c r="I28" s="18" t="s">
        <v>311</v>
      </c>
      <c r="J28" t="s">
        <v>17</v>
      </c>
      <c r="K28" s="18" t="s">
        <v>142</v>
      </c>
      <c r="L28" s="19" t="s">
        <v>114</v>
      </c>
      <c r="M28" s="33" t="s">
        <v>196</v>
      </c>
      <c r="N28"/>
      <c r="O28" s="18" t="s">
        <v>312</v>
      </c>
      <c r="Q28"/>
    </row>
    <row r="29" spans="1:17" x14ac:dyDescent="0.25">
      <c r="A29" s="18" t="s">
        <v>193</v>
      </c>
      <c r="B29" s="38">
        <v>0</v>
      </c>
      <c r="C29" s="37" t="s">
        <v>313</v>
      </c>
      <c r="D29" s="39" t="s">
        <v>18</v>
      </c>
      <c r="E29" s="30" t="s">
        <v>111</v>
      </c>
      <c r="F29" s="18" t="s">
        <v>17</v>
      </c>
      <c r="G29" s="18">
        <v>60</v>
      </c>
      <c r="H29" s="18" t="s">
        <v>112</v>
      </c>
      <c r="I29" s="18" t="s">
        <v>314</v>
      </c>
      <c r="J29" t="s">
        <v>17</v>
      </c>
      <c r="L29" s="19" t="s">
        <v>114</v>
      </c>
      <c r="M29" s="33" t="s">
        <v>196</v>
      </c>
      <c r="N29"/>
      <c r="O29" s="18" t="s">
        <v>315</v>
      </c>
      <c r="Q29"/>
    </row>
    <row r="30" spans="1:17" x14ac:dyDescent="0.25">
      <c r="A30" s="18" t="s">
        <v>193</v>
      </c>
      <c r="B30" s="38">
        <v>0</v>
      </c>
      <c r="C30" s="37" t="s">
        <v>316</v>
      </c>
      <c r="D30" s="39" t="s">
        <v>18</v>
      </c>
      <c r="E30" s="30" t="s">
        <v>111</v>
      </c>
      <c r="F30" s="18" t="s">
        <v>17</v>
      </c>
      <c r="G30" s="18" t="s">
        <v>294</v>
      </c>
      <c r="H30" s="18" t="s">
        <v>112</v>
      </c>
      <c r="I30" s="18" t="s">
        <v>317</v>
      </c>
      <c r="J30" t="s">
        <v>17</v>
      </c>
      <c r="L30" s="19" t="s">
        <v>114</v>
      </c>
      <c r="M30" s="33" t="s">
        <v>196</v>
      </c>
      <c r="N30"/>
      <c r="O30" s="18" t="s">
        <v>318</v>
      </c>
      <c r="Q30"/>
    </row>
    <row r="31" spans="1:17" x14ac:dyDescent="0.25">
      <c r="A31" s="18" t="s">
        <v>194</v>
      </c>
      <c r="B31" s="38">
        <v>0</v>
      </c>
      <c r="C31" s="37" t="s">
        <v>319</v>
      </c>
      <c r="D31" s="39" t="s">
        <v>18</v>
      </c>
      <c r="E31" s="30" t="s">
        <v>129</v>
      </c>
      <c r="F31" s="18" t="s">
        <v>101</v>
      </c>
      <c r="G31" s="18">
        <v>30</v>
      </c>
      <c r="H31" s="18" t="s">
        <v>119</v>
      </c>
      <c r="J31" t="s">
        <v>17</v>
      </c>
      <c r="L31" s="19" t="s">
        <v>124</v>
      </c>
      <c r="M31" s="33" t="s">
        <v>196</v>
      </c>
      <c r="N31"/>
      <c r="O31" s="18" t="s">
        <v>320</v>
      </c>
      <c r="Q31"/>
    </row>
    <row r="32" spans="1:17" x14ac:dyDescent="0.25">
      <c r="A32" s="18" t="s">
        <v>213</v>
      </c>
      <c r="B32" s="38">
        <v>0</v>
      </c>
      <c r="C32" s="37" t="s">
        <v>849</v>
      </c>
      <c r="D32" s="39" t="s">
        <v>18</v>
      </c>
      <c r="E32" s="30" t="s">
        <v>111</v>
      </c>
      <c r="F32" s="18" t="s">
        <v>17</v>
      </c>
      <c r="G32" s="18" t="s">
        <v>850</v>
      </c>
      <c r="H32" s="18" t="s">
        <v>119</v>
      </c>
      <c r="I32" s="18" t="s">
        <v>851</v>
      </c>
      <c r="J32" t="s">
        <v>101</v>
      </c>
      <c r="L32" s="19" t="s">
        <v>144</v>
      </c>
      <c r="M32" s="33" t="s">
        <v>196</v>
      </c>
      <c r="N32"/>
      <c r="O32" s="18" t="s">
        <v>852</v>
      </c>
      <c r="Q32"/>
    </row>
    <row r="33" spans="1:17" x14ac:dyDescent="0.25">
      <c r="A33" s="18" t="s">
        <v>853</v>
      </c>
      <c r="B33" s="38">
        <v>0</v>
      </c>
      <c r="C33" s="37" t="s">
        <v>854</v>
      </c>
      <c r="D33" s="39" t="s">
        <v>18</v>
      </c>
      <c r="E33" s="30" t="s">
        <v>111</v>
      </c>
      <c r="F33" s="18" t="s">
        <v>17</v>
      </c>
      <c r="G33" s="18" t="s">
        <v>130</v>
      </c>
      <c r="H33" s="18" t="s">
        <v>112</v>
      </c>
      <c r="I33" s="18" t="s">
        <v>855</v>
      </c>
      <c r="J33" t="s">
        <v>101</v>
      </c>
      <c r="L33" s="19" t="s">
        <v>508</v>
      </c>
      <c r="M33" s="33" t="s">
        <v>196</v>
      </c>
      <c r="N33"/>
      <c r="O33" s="18" t="s">
        <v>856</v>
      </c>
      <c r="Q33"/>
    </row>
    <row r="34" spans="1:17" x14ac:dyDescent="0.25">
      <c r="A34" s="18" t="s">
        <v>917</v>
      </c>
      <c r="B34" s="38">
        <v>0</v>
      </c>
      <c r="C34" s="37" t="s">
        <v>918</v>
      </c>
      <c r="D34" s="39" t="s">
        <v>18</v>
      </c>
      <c r="E34" s="30" t="s">
        <v>148</v>
      </c>
      <c r="F34" s="18" t="s">
        <v>17</v>
      </c>
      <c r="G34" s="18">
        <v>60</v>
      </c>
      <c r="H34" s="18" t="s">
        <v>112</v>
      </c>
      <c r="I34" s="18" t="s">
        <v>919</v>
      </c>
      <c r="J34" t="s">
        <v>17</v>
      </c>
      <c r="K34" s="18" t="s">
        <v>149</v>
      </c>
      <c r="L34" s="19" t="s">
        <v>121</v>
      </c>
      <c r="M34" s="33" t="s">
        <v>196</v>
      </c>
      <c r="N34"/>
      <c r="O34" s="18" t="s">
        <v>920</v>
      </c>
      <c r="Q34"/>
    </row>
    <row r="35" spans="1:17" x14ac:dyDescent="0.25">
      <c r="A35" s="18" t="s">
        <v>193</v>
      </c>
      <c r="B35" s="38">
        <v>1</v>
      </c>
      <c r="C35" s="37" t="s">
        <v>125</v>
      </c>
      <c r="D35" s="39" t="s">
        <v>18</v>
      </c>
      <c r="E35" s="30" t="s">
        <v>111</v>
      </c>
      <c r="F35" s="18" t="s">
        <v>17</v>
      </c>
      <c r="G35" s="18">
        <v>90</v>
      </c>
      <c r="H35" s="18" t="s">
        <v>112</v>
      </c>
      <c r="I35" s="18" t="s">
        <v>126</v>
      </c>
      <c r="J35" t="s">
        <v>17</v>
      </c>
      <c r="L35" s="19" t="s">
        <v>219</v>
      </c>
      <c r="M35" s="33" t="s">
        <v>196</v>
      </c>
      <c r="N35"/>
      <c r="O35" s="18" t="s">
        <v>207</v>
      </c>
      <c r="Q35"/>
    </row>
    <row r="36" spans="1:17" x14ac:dyDescent="0.25">
      <c r="A36" s="18" t="s">
        <v>208</v>
      </c>
      <c r="B36" s="38">
        <v>1</v>
      </c>
      <c r="C36" s="37" t="s">
        <v>127</v>
      </c>
      <c r="D36" s="39" t="s">
        <v>128</v>
      </c>
      <c r="E36" s="30" t="s">
        <v>129</v>
      </c>
      <c r="F36" s="18" t="s">
        <v>101</v>
      </c>
      <c r="G36" s="18" t="s">
        <v>130</v>
      </c>
      <c r="H36" s="18" t="s">
        <v>131</v>
      </c>
      <c r="J36" t="s">
        <v>17</v>
      </c>
      <c r="L36" s="19" t="s">
        <v>114</v>
      </c>
      <c r="M36" s="33" t="s">
        <v>196</v>
      </c>
      <c r="N36"/>
      <c r="O36" s="18" t="s">
        <v>209</v>
      </c>
      <c r="Q36"/>
    </row>
    <row r="37" spans="1:17" x14ac:dyDescent="0.25">
      <c r="A37" s="18" t="s">
        <v>193</v>
      </c>
      <c r="B37" s="38">
        <v>1</v>
      </c>
      <c r="C37" s="37" t="s">
        <v>132</v>
      </c>
      <c r="D37" s="39" t="s">
        <v>18</v>
      </c>
      <c r="E37" s="30" t="s">
        <v>133</v>
      </c>
      <c r="F37" s="18" t="s">
        <v>17</v>
      </c>
      <c r="G37" s="18">
        <v>0</v>
      </c>
      <c r="H37" s="18" t="s">
        <v>134</v>
      </c>
      <c r="J37" t="s">
        <v>17</v>
      </c>
      <c r="L37" s="19" t="s">
        <v>22</v>
      </c>
      <c r="M37" s="33" t="s">
        <v>196</v>
      </c>
      <c r="N37"/>
      <c r="O37" s="18" t="s">
        <v>210</v>
      </c>
      <c r="Q37"/>
    </row>
    <row r="38" spans="1:17" x14ac:dyDescent="0.25">
      <c r="A38" s="18" t="s">
        <v>193</v>
      </c>
      <c r="B38" s="38">
        <v>1</v>
      </c>
      <c r="C38" s="37" t="s">
        <v>135</v>
      </c>
      <c r="D38" s="39" t="s">
        <v>18</v>
      </c>
      <c r="E38" s="30" t="s">
        <v>111</v>
      </c>
      <c r="F38" s="18" t="s">
        <v>17</v>
      </c>
      <c r="G38" s="18">
        <v>120</v>
      </c>
      <c r="H38" s="18" t="s">
        <v>112</v>
      </c>
      <c r="I38" s="18" t="s">
        <v>136</v>
      </c>
      <c r="J38" t="s">
        <v>101</v>
      </c>
      <c r="L38" s="19" t="s">
        <v>114</v>
      </c>
      <c r="M38" s="33" t="s">
        <v>196</v>
      </c>
      <c r="N38"/>
      <c r="O38" s="18" t="s">
        <v>211</v>
      </c>
      <c r="Q38"/>
    </row>
    <row r="39" spans="1:17" x14ac:dyDescent="0.25">
      <c r="A39" s="18" t="s">
        <v>193</v>
      </c>
      <c r="B39" s="38">
        <v>1</v>
      </c>
      <c r="C39" s="37" t="s">
        <v>107</v>
      </c>
      <c r="D39" s="39" t="s">
        <v>23</v>
      </c>
      <c r="E39" s="30" t="s">
        <v>133</v>
      </c>
      <c r="F39" s="18" t="s">
        <v>17</v>
      </c>
      <c r="G39" s="18" t="s">
        <v>130</v>
      </c>
      <c r="H39" s="18" t="s">
        <v>119</v>
      </c>
      <c r="J39" t="s">
        <v>17</v>
      </c>
      <c r="L39" s="19" t="s">
        <v>114</v>
      </c>
      <c r="M39" s="33" t="s">
        <v>196</v>
      </c>
      <c r="N39"/>
      <c r="O39" s="18" t="s">
        <v>212</v>
      </c>
      <c r="Q39"/>
    </row>
    <row r="40" spans="1:17" x14ac:dyDescent="0.25">
      <c r="A40" s="18" t="s">
        <v>213</v>
      </c>
      <c r="B40" s="38">
        <v>1</v>
      </c>
      <c r="C40" s="37" t="s">
        <v>137</v>
      </c>
      <c r="D40" s="39" t="s">
        <v>18</v>
      </c>
      <c r="E40" s="30" t="s">
        <v>111</v>
      </c>
      <c r="F40" s="18" t="s">
        <v>101</v>
      </c>
      <c r="G40" s="18">
        <v>30</v>
      </c>
      <c r="H40" s="18" t="s">
        <v>116</v>
      </c>
      <c r="I40" s="18" t="s">
        <v>138</v>
      </c>
      <c r="J40" t="s">
        <v>101</v>
      </c>
      <c r="L40" s="19" t="s">
        <v>22</v>
      </c>
      <c r="M40" s="33" t="s">
        <v>196</v>
      </c>
      <c r="N40"/>
      <c r="O40" s="18" t="s">
        <v>214</v>
      </c>
      <c r="Q40"/>
    </row>
    <row r="41" spans="1:17" x14ac:dyDescent="0.25">
      <c r="A41" s="18" t="s">
        <v>193</v>
      </c>
      <c r="B41" s="38">
        <v>1</v>
      </c>
      <c r="C41" s="37" t="s">
        <v>139</v>
      </c>
      <c r="D41" s="39" t="s">
        <v>18</v>
      </c>
      <c r="E41" s="30" t="s">
        <v>140</v>
      </c>
      <c r="F41" s="18" t="s">
        <v>17</v>
      </c>
      <c r="G41" s="18">
        <v>60</v>
      </c>
      <c r="H41" s="18" t="s">
        <v>112</v>
      </c>
      <c r="I41" s="18" t="s">
        <v>141</v>
      </c>
      <c r="J41" t="s">
        <v>17</v>
      </c>
      <c r="K41" s="18" t="s">
        <v>142</v>
      </c>
      <c r="L41" s="19" t="s">
        <v>114</v>
      </c>
      <c r="M41" s="33" t="s">
        <v>196</v>
      </c>
      <c r="N41"/>
      <c r="O41" s="18" t="s">
        <v>215</v>
      </c>
      <c r="Q41"/>
    </row>
    <row r="42" spans="1:17" ht="24" x14ac:dyDescent="0.25">
      <c r="A42" s="18" t="s">
        <v>216</v>
      </c>
      <c r="B42" s="38">
        <v>1</v>
      </c>
      <c r="C42" s="37" t="s">
        <v>143</v>
      </c>
      <c r="D42" s="39" t="s">
        <v>18</v>
      </c>
      <c r="E42" s="30" t="s">
        <v>133</v>
      </c>
      <c r="F42" s="18" t="s">
        <v>101</v>
      </c>
      <c r="G42" s="18">
        <v>0</v>
      </c>
      <c r="H42" s="18" t="s">
        <v>131</v>
      </c>
      <c r="J42" t="s">
        <v>17</v>
      </c>
      <c r="L42" s="19" t="s">
        <v>22</v>
      </c>
      <c r="M42" s="33" t="s">
        <v>196</v>
      </c>
      <c r="N42"/>
      <c r="O42" s="18" t="s">
        <v>217</v>
      </c>
      <c r="Q42"/>
    </row>
    <row r="43" spans="1:17" x14ac:dyDescent="0.25">
      <c r="A43" s="18" t="s">
        <v>263</v>
      </c>
      <c r="B43" s="38">
        <v>1</v>
      </c>
      <c r="C43" s="37" t="s">
        <v>264</v>
      </c>
      <c r="D43" s="39" t="s">
        <v>18</v>
      </c>
      <c r="E43" s="30" t="s">
        <v>100</v>
      </c>
      <c r="F43" s="18" t="s">
        <v>101</v>
      </c>
      <c r="G43" s="18">
        <v>120</v>
      </c>
      <c r="H43" s="18" t="s">
        <v>123</v>
      </c>
      <c r="J43" t="s">
        <v>101</v>
      </c>
      <c r="L43" s="19" t="s">
        <v>114</v>
      </c>
      <c r="M43" s="33" t="s">
        <v>196</v>
      </c>
      <c r="N43"/>
      <c r="O43" s="18" t="s">
        <v>265</v>
      </c>
      <c r="Q43"/>
    </row>
    <row r="44" spans="1:17" x14ac:dyDescent="0.25">
      <c r="A44" s="18" t="s">
        <v>250</v>
      </c>
      <c r="B44" s="38">
        <v>1</v>
      </c>
      <c r="C44" s="37" t="s">
        <v>274</v>
      </c>
      <c r="D44" s="39" t="s">
        <v>18</v>
      </c>
      <c r="E44" s="30" t="s">
        <v>111</v>
      </c>
      <c r="F44" s="18" t="s">
        <v>17</v>
      </c>
      <c r="G44" s="18" t="s">
        <v>275</v>
      </c>
      <c r="H44" s="18" t="s">
        <v>112</v>
      </c>
      <c r="I44" s="18" t="s">
        <v>141</v>
      </c>
      <c r="J44" t="s">
        <v>101</v>
      </c>
      <c r="K44" s="18" t="s">
        <v>142</v>
      </c>
      <c r="L44" s="19" t="s">
        <v>114</v>
      </c>
      <c r="M44" s="33" t="s">
        <v>196</v>
      </c>
      <c r="N44"/>
      <c r="O44" s="18" t="s">
        <v>276</v>
      </c>
      <c r="Q44"/>
    </row>
    <row r="45" spans="1:17" ht="24" x14ac:dyDescent="0.25">
      <c r="A45" s="18" t="s">
        <v>194</v>
      </c>
      <c r="B45" s="38">
        <v>1</v>
      </c>
      <c r="C45" s="37" t="s">
        <v>277</v>
      </c>
      <c r="D45" s="39" t="s">
        <v>18</v>
      </c>
      <c r="E45" s="30" t="s">
        <v>129</v>
      </c>
      <c r="F45" s="18" t="s">
        <v>17</v>
      </c>
      <c r="G45" s="18" t="s">
        <v>130</v>
      </c>
      <c r="H45" s="18" t="s">
        <v>123</v>
      </c>
      <c r="J45" t="s">
        <v>17</v>
      </c>
      <c r="L45" s="19" t="s">
        <v>22</v>
      </c>
      <c r="M45" s="33" t="s">
        <v>196</v>
      </c>
      <c r="N45"/>
      <c r="O45" s="18" t="s">
        <v>278</v>
      </c>
      <c r="Q45"/>
    </row>
    <row r="46" spans="1:17" x14ac:dyDescent="0.25">
      <c r="A46" s="18" t="s">
        <v>238</v>
      </c>
      <c r="B46" s="38">
        <v>1</v>
      </c>
      <c r="C46" s="37" t="s">
        <v>279</v>
      </c>
      <c r="D46" s="39" t="s">
        <v>18</v>
      </c>
      <c r="E46" s="30" t="s">
        <v>111</v>
      </c>
      <c r="F46" s="18" t="s">
        <v>101</v>
      </c>
      <c r="G46" s="18">
        <v>30</v>
      </c>
      <c r="H46" s="18" t="s">
        <v>116</v>
      </c>
      <c r="J46" t="s">
        <v>17</v>
      </c>
      <c r="K46" s="18" t="s">
        <v>149</v>
      </c>
      <c r="L46" s="19" t="s">
        <v>22</v>
      </c>
      <c r="M46" s="33" t="s">
        <v>196</v>
      </c>
      <c r="N46"/>
      <c r="O46" s="18" t="s">
        <v>280</v>
      </c>
      <c r="Q46"/>
    </row>
    <row r="47" spans="1:17" x14ac:dyDescent="0.25">
      <c r="A47" s="18" t="s">
        <v>193</v>
      </c>
      <c r="B47" s="38">
        <v>1</v>
      </c>
      <c r="C47" s="37" t="s">
        <v>281</v>
      </c>
      <c r="D47" s="39" t="s">
        <v>18</v>
      </c>
      <c r="E47" s="30" t="s">
        <v>140</v>
      </c>
      <c r="F47" s="18" t="s">
        <v>17</v>
      </c>
      <c r="G47" s="18" t="s">
        <v>130</v>
      </c>
      <c r="H47" s="18" t="s">
        <v>123</v>
      </c>
      <c r="I47" s="18" t="s">
        <v>282</v>
      </c>
      <c r="J47" t="s">
        <v>101</v>
      </c>
      <c r="L47" s="19" t="s">
        <v>22</v>
      </c>
      <c r="M47" s="33" t="s">
        <v>196</v>
      </c>
      <c r="N47"/>
      <c r="O47" s="18" t="s">
        <v>283</v>
      </c>
    </row>
    <row r="48" spans="1:17" x14ac:dyDescent="0.25">
      <c r="A48" s="18" t="s">
        <v>193</v>
      </c>
      <c r="B48" s="38">
        <v>1</v>
      </c>
      <c r="C48" s="37" t="s">
        <v>284</v>
      </c>
      <c r="D48" s="39" t="s">
        <v>18</v>
      </c>
      <c r="E48" s="30" t="s">
        <v>151</v>
      </c>
      <c r="F48" s="18" t="s">
        <v>17</v>
      </c>
      <c r="G48" s="18" t="s">
        <v>275</v>
      </c>
      <c r="H48" s="18" t="s">
        <v>119</v>
      </c>
      <c r="I48" s="18" t="s">
        <v>285</v>
      </c>
      <c r="J48" t="s">
        <v>101</v>
      </c>
      <c r="L48" s="19" t="s">
        <v>22</v>
      </c>
      <c r="M48" s="33" t="s">
        <v>196</v>
      </c>
      <c r="N48"/>
      <c r="O48" s="18" t="s">
        <v>286</v>
      </c>
    </row>
    <row r="49" spans="1:17" x14ac:dyDescent="0.25">
      <c r="A49" s="18" t="s">
        <v>592</v>
      </c>
      <c r="B49" s="38">
        <v>1</v>
      </c>
      <c r="C49" s="37" t="s">
        <v>321</v>
      </c>
      <c r="D49" s="39" t="s">
        <v>166</v>
      </c>
      <c r="E49" s="30" t="s">
        <v>133</v>
      </c>
      <c r="F49" s="18" t="s">
        <v>17</v>
      </c>
      <c r="G49" s="18">
        <v>30</v>
      </c>
      <c r="H49" s="18" t="s">
        <v>134</v>
      </c>
      <c r="J49" t="s">
        <v>17</v>
      </c>
      <c r="L49" s="19" t="s">
        <v>22</v>
      </c>
      <c r="M49" s="33" t="s">
        <v>196</v>
      </c>
      <c r="N49"/>
      <c r="O49" s="18" t="s">
        <v>322</v>
      </c>
    </row>
    <row r="50" spans="1:17" x14ac:dyDescent="0.25">
      <c r="A50" s="18" t="s">
        <v>193</v>
      </c>
      <c r="B50" s="38">
        <v>1</v>
      </c>
      <c r="C50" s="37" t="s">
        <v>323</v>
      </c>
      <c r="D50" s="39" t="s">
        <v>18</v>
      </c>
      <c r="E50" s="30" t="s">
        <v>111</v>
      </c>
      <c r="F50" s="18" t="s">
        <v>17</v>
      </c>
      <c r="G50" s="18" t="s">
        <v>324</v>
      </c>
      <c r="H50" s="18" t="s">
        <v>112</v>
      </c>
      <c r="I50" s="18" t="s">
        <v>169</v>
      </c>
      <c r="J50" t="s">
        <v>101</v>
      </c>
      <c r="K50" s="18" t="s">
        <v>160</v>
      </c>
      <c r="L50" s="19" t="s">
        <v>114</v>
      </c>
      <c r="M50" s="33" t="s">
        <v>196</v>
      </c>
      <c r="N50"/>
      <c r="O50" s="18" t="s">
        <v>325</v>
      </c>
    </row>
    <row r="51" spans="1:17" x14ac:dyDescent="0.25">
      <c r="A51" s="18" t="s">
        <v>593</v>
      </c>
      <c r="B51" s="38">
        <v>1</v>
      </c>
      <c r="C51" s="37" t="s">
        <v>326</v>
      </c>
      <c r="D51" s="39" t="s">
        <v>18</v>
      </c>
      <c r="E51" s="30" t="s">
        <v>148</v>
      </c>
      <c r="F51" s="18" t="s">
        <v>17</v>
      </c>
      <c r="G51" s="18">
        <v>30</v>
      </c>
      <c r="H51" s="18" t="s">
        <v>123</v>
      </c>
      <c r="J51" t="s">
        <v>17</v>
      </c>
      <c r="K51" s="18" t="s">
        <v>149</v>
      </c>
      <c r="L51" s="19" t="s">
        <v>114</v>
      </c>
      <c r="M51" s="33" t="s">
        <v>196</v>
      </c>
      <c r="N51"/>
      <c r="O51" s="18" t="s">
        <v>327</v>
      </c>
    </row>
    <row r="52" spans="1:17" x14ac:dyDescent="0.25">
      <c r="A52" s="18" t="s">
        <v>201</v>
      </c>
      <c r="B52" s="38">
        <v>1</v>
      </c>
      <c r="C52" s="37" t="s">
        <v>328</v>
      </c>
      <c r="D52" s="39" t="s">
        <v>18</v>
      </c>
      <c r="E52" s="30" t="s">
        <v>151</v>
      </c>
      <c r="F52" s="18" t="s">
        <v>17</v>
      </c>
      <c r="G52" s="18" t="s">
        <v>130</v>
      </c>
      <c r="H52" s="18" t="s">
        <v>123</v>
      </c>
      <c r="J52" t="s">
        <v>17</v>
      </c>
      <c r="L52" s="19" t="s">
        <v>114</v>
      </c>
      <c r="M52" s="33" t="s">
        <v>196</v>
      </c>
      <c r="N52"/>
      <c r="O52" s="18" t="s">
        <v>329</v>
      </c>
      <c r="Q52"/>
    </row>
    <row r="53" spans="1:17" x14ac:dyDescent="0.25">
      <c r="A53" s="18" t="s">
        <v>213</v>
      </c>
      <c r="B53" s="38">
        <v>1</v>
      </c>
      <c r="C53" s="37" t="s">
        <v>330</v>
      </c>
      <c r="D53" s="39" t="s">
        <v>24</v>
      </c>
      <c r="E53" s="30" t="s">
        <v>118</v>
      </c>
      <c r="F53" s="18" t="s">
        <v>101</v>
      </c>
      <c r="G53" s="18" t="s">
        <v>130</v>
      </c>
      <c r="H53" s="18" t="s">
        <v>131</v>
      </c>
      <c r="J53" t="s">
        <v>17</v>
      </c>
      <c r="L53" s="19" t="s">
        <v>114</v>
      </c>
      <c r="M53" s="33" t="s">
        <v>196</v>
      </c>
      <c r="N53"/>
      <c r="O53" s="18" t="s">
        <v>331</v>
      </c>
      <c r="Q53"/>
    </row>
    <row r="54" spans="1:17" x14ac:dyDescent="0.25">
      <c r="A54" s="18" t="s">
        <v>201</v>
      </c>
      <c r="B54" s="38">
        <v>1</v>
      </c>
      <c r="C54" s="37" t="s">
        <v>332</v>
      </c>
      <c r="D54" s="39" t="s">
        <v>23</v>
      </c>
      <c r="E54" s="30" t="s">
        <v>118</v>
      </c>
      <c r="F54" s="18" t="s">
        <v>17</v>
      </c>
      <c r="G54" s="18">
        <v>60</v>
      </c>
      <c r="H54" s="18" t="s">
        <v>333</v>
      </c>
      <c r="J54" t="s">
        <v>17</v>
      </c>
      <c r="L54" s="19" t="s">
        <v>144</v>
      </c>
      <c r="M54" s="33" t="s">
        <v>196</v>
      </c>
      <c r="N54"/>
      <c r="O54" s="18" t="s">
        <v>334</v>
      </c>
      <c r="Q54"/>
    </row>
    <row r="55" spans="1:17" ht="45" x14ac:dyDescent="0.25">
      <c r="A55" s="18" t="s">
        <v>99</v>
      </c>
      <c r="B55" s="38">
        <v>1</v>
      </c>
      <c r="C55" s="37" t="s">
        <v>335</v>
      </c>
      <c r="D55" s="39" t="s">
        <v>123</v>
      </c>
      <c r="E55" s="30" t="s">
        <v>100</v>
      </c>
      <c r="F55" s="18" t="s">
        <v>17</v>
      </c>
      <c r="G55" s="18">
        <v>10</v>
      </c>
      <c r="H55" s="18" t="s">
        <v>112</v>
      </c>
      <c r="J55" t="s">
        <v>17</v>
      </c>
      <c r="L55" s="19" t="s">
        <v>336</v>
      </c>
      <c r="M55" s="33" t="s">
        <v>196</v>
      </c>
      <c r="N55"/>
      <c r="O55" s="18" t="s">
        <v>337</v>
      </c>
      <c r="Q55"/>
    </row>
    <row r="56" spans="1:17" x14ac:dyDescent="0.25">
      <c r="A56" s="18" t="s">
        <v>99</v>
      </c>
      <c r="B56" s="38">
        <v>1</v>
      </c>
      <c r="C56" s="37" t="s">
        <v>338</v>
      </c>
      <c r="D56" s="39" t="s">
        <v>128</v>
      </c>
      <c r="E56" s="30" t="s">
        <v>100</v>
      </c>
      <c r="F56" s="18" t="s">
        <v>17</v>
      </c>
      <c r="G56" s="18">
        <v>30</v>
      </c>
      <c r="H56" s="18" t="s">
        <v>123</v>
      </c>
      <c r="J56" t="s">
        <v>17</v>
      </c>
      <c r="L56" s="19" t="s">
        <v>22</v>
      </c>
      <c r="M56" s="33" t="s">
        <v>196</v>
      </c>
      <c r="N56"/>
      <c r="O56" s="18" t="s">
        <v>339</v>
      </c>
      <c r="Q56"/>
    </row>
    <row r="57" spans="1:17" x14ac:dyDescent="0.25">
      <c r="A57" s="18" t="s">
        <v>99</v>
      </c>
      <c r="B57" s="38">
        <v>1</v>
      </c>
      <c r="C57" s="37" t="s">
        <v>340</v>
      </c>
      <c r="D57" s="39" t="s">
        <v>18</v>
      </c>
      <c r="E57" s="30" t="s">
        <v>100</v>
      </c>
      <c r="F57" s="18" t="s">
        <v>17</v>
      </c>
      <c r="G57" s="18">
        <v>60</v>
      </c>
      <c r="H57" s="18" t="s">
        <v>116</v>
      </c>
      <c r="J57" t="s">
        <v>17</v>
      </c>
      <c r="K57" s="18" t="s">
        <v>160</v>
      </c>
      <c r="L57" s="19" t="s">
        <v>22</v>
      </c>
      <c r="M57" s="33" t="s">
        <v>196</v>
      </c>
      <c r="N57"/>
      <c r="O57" s="18" t="s">
        <v>341</v>
      </c>
      <c r="Q57"/>
    </row>
    <row r="58" spans="1:17" x14ac:dyDescent="0.25">
      <c r="A58" s="18" t="s">
        <v>238</v>
      </c>
      <c r="B58" s="38">
        <v>1</v>
      </c>
      <c r="C58" s="37" t="s">
        <v>342</v>
      </c>
      <c r="D58" s="39" t="s">
        <v>166</v>
      </c>
      <c r="E58" s="30" t="s">
        <v>129</v>
      </c>
      <c r="F58" s="18" t="s">
        <v>17</v>
      </c>
      <c r="G58" s="18" t="s">
        <v>294</v>
      </c>
      <c r="H58" s="18" t="s">
        <v>112</v>
      </c>
      <c r="J58" t="s">
        <v>17</v>
      </c>
      <c r="L58" s="19" t="s">
        <v>343</v>
      </c>
      <c r="M58" s="33" t="s">
        <v>196</v>
      </c>
      <c r="N58"/>
      <c r="O58" s="18" t="s">
        <v>344</v>
      </c>
      <c r="Q58"/>
    </row>
    <row r="59" spans="1:17" ht="30" x14ac:dyDescent="0.25">
      <c r="A59" s="18" t="s">
        <v>594</v>
      </c>
      <c r="B59" s="38">
        <v>1</v>
      </c>
      <c r="C59" s="37" t="s">
        <v>345</v>
      </c>
      <c r="D59" s="39" t="s">
        <v>166</v>
      </c>
      <c r="E59" s="30" t="s">
        <v>151</v>
      </c>
      <c r="F59" s="18" t="s">
        <v>17</v>
      </c>
      <c r="G59" s="18" t="s">
        <v>294</v>
      </c>
      <c r="H59" s="18" t="s">
        <v>187</v>
      </c>
      <c r="J59" t="s">
        <v>17</v>
      </c>
      <c r="L59" s="19" t="s">
        <v>346</v>
      </c>
      <c r="M59" s="33" t="s">
        <v>196</v>
      </c>
      <c r="N59"/>
      <c r="O59" s="18" t="s">
        <v>347</v>
      </c>
      <c r="Q59"/>
    </row>
    <row r="60" spans="1:17" x14ac:dyDescent="0.25">
      <c r="A60" s="18" t="s">
        <v>263</v>
      </c>
      <c r="B60" s="38">
        <v>1</v>
      </c>
      <c r="C60" s="37" t="s">
        <v>348</v>
      </c>
      <c r="D60" s="39" t="s">
        <v>18</v>
      </c>
      <c r="E60" s="30" t="s">
        <v>118</v>
      </c>
      <c r="F60" s="18" t="s">
        <v>17</v>
      </c>
      <c r="G60" s="18" t="s">
        <v>294</v>
      </c>
      <c r="H60" s="18" t="s">
        <v>116</v>
      </c>
      <c r="J60" t="s">
        <v>17</v>
      </c>
      <c r="L60" s="19" t="s">
        <v>22</v>
      </c>
      <c r="M60" s="33" t="s">
        <v>196</v>
      </c>
      <c r="N60"/>
      <c r="O60" s="18" t="s">
        <v>349</v>
      </c>
      <c r="Q60"/>
    </row>
    <row r="61" spans="1:17" x14ac:dyDescent="0.25">
      <c r="A61" s="18" t="s">
        <v>595</v>
      </c>
      <c r="B61" s="38">
        <v>1</v>
      </c>
      <c r="C61" s="37" t="s">
        <v>350</v>
      </c>
      <c r="D61" s="39" t="s">
        <v>18</v>
      </c>
      <c r="E61" s="30" t="s">
        <v>118</v>
      </c>
      <c r="F61" s="18" t="s">
        <v>17</v>
      </c>
      <c r="G61" s="18" t="s">
        <v>294</v>
      </c>
      <c r="H61" s="18" t="s">
        <v>123</v>
      </c>
      <c r="J61" t="s">
        <v>101</v>
      </c>
      <c r="L61" s="19" t="s">
        <v>22</v>
      </c>
      <c r="M61" s="33" t="s">
        <v>196</v>
      </c>
      <c r="N61"/>
      <c r="O61" s="18" t="s">
        <v>351</v>
      </c>
      <c r="Q61"/>
    </row>
    <row r="62" spans="1:17" x14ac:dyDescent="0.25">
      <c r="A62" s="18" t="s">
        <v>201</v>
      </c>
      <c r="B62" s="38">
        <v>1</v>
      </c>
      <c r="C62" s="37" t="s">
        <v>352</v>
      </c>
      <c r="D62" s="39" t="s">
        <v>18</v>
      </c>
      <c r="E62" s="30" t="s">
        <v>151</v>
      </c>
      <c r="F62" s="18" t="s">
        <v>101</v>
      </c>
      <c r="G62" s="18">
        <v>60</v>
      </c>
      <c r="H62" s="18" t="s">
        <v>131</v>
      </c>
      <c r="J62" t="s">
        <v>17</v>
      </c>
      <c r="L62" s="19" t="s">
        <v>22</v>
      </c>
      <c r="M62" s="33" t="s">
        <v>196</v>
      </c>
      <c r="N62"/>
      <c r="O62" s="18" t="s">
        <v>353</v>
      </c>
      <c r="Q62"/>
    </row>
    <row r="63" spans="1:17" x14ac:dyDescent="0.25">
      <c r="A63" s="18" t="s">
        <v>201</v>
      </c>
      <c r="B63" s="38">
        <v>1</v>
      </c>
      <c r="C63" s="37" t="s">
        <v>354</v>
      </c>
      <c r="D63" s="39" t="s">
        <v>18</v>
      </c>
      <c r="E63" s="30" t="s">
        <v>148</v>
      </c>
      <c r="F63" s="18" t="s">
        <v>17</v>
      </c>
      <c r="G63" s="18">
        <v>90</v>
      </c>
      <c r="H63" s="18" t="s">
        <v>333</v>
      </c>
      <c r="I63" s="18" t="s">
        <v>159</v>
      </c>
      <c r="J63" t="s">
        <v>101</v>
      </c>
      <c r="L63" s="19" t="s">
        <v>22</v>
      </c>
      <c r="M63" s="33" t="s">
        <v>196</v>
      </c>
      <c r="N63"/>
      <c r="O63" s="18" t="s">
        <v>355</v>
      </c>
      <c r="Q63"/>
    </row>
    <row r="64" spans="1:17" x14ac:dyDescent="0.25">
      <c r="A64" s="18" t="s">
        <v>594</v>
      </c>
      <c r="B64" s="38">
        <v>1</v>
      </c>
      <c r="C64" s="37" t="s">
        <v>356</v>
      </c>
      <c r="D64" s="39" t="s">
        <v>128</v>
      </c>
      <c r="E64" s="30" t="s">
        <v>100</v>
      </c>
      <c r="F64" s="18" t="s">
        <v>17</v>
      </c>
      <c r="G64" s="18">
        <v>60</v>
      </c>
      <c r="H64" s="18" t="s">
        <v>123</v>
      </c>
      <c r="J64" t="s">
        <v>17</v>
      </c>
      <c r="L64" s="19" t="s">
        <v>22</v>
      </c>
      <c r="M64" s="33" t="s">
        <v>196</v>
      </c>
      <c r="N64"/>
      <c r="O64" s="18" t="s">
        <v>357</v>
      </c>
      <c r="Q64"/>
    </row>
    <row r="65" spans="1:17" x14ac:dyDescent="0.25">
      <c r="A65" s="18" t="s">
        <v>810</v>
      </c>
      <c r="B65" s="38">
        <v>1</v>
      </c>
      <c r="C65" s="37" t="s">
        <v>811</v>
      </c>
      <c r="D65" s="39" t="s">
        <v>18</v>
      </c>
      <c r="E65" s="30" t="s">
        <v>148</v>
      </c>
      <c r="F65" s="18" t="s">
        <v>101</v>
      </c>
      <c r="G65" s="18">
        <v>30</v>
      </c>
      <c r="H65" s="18" t="s">
        <v>116</v>
      </c>
      <c r="J65" t="s">
        <v>101</v>
      </c>
      <c r="L65" s="19" t="s">
        <v>22</v>
      </c>
      <c r="M65" s="33" t="s">
        <v>196</v>
      </c>
      <c r="N65"/>
      <c r="O65" s="18" t="s">
        <v>812</v>
      </c>
      <c r="Q65"/>
    </row>
    <row r="66" spans="1:17" x14ac:dyDescent="0.25">
      <c r="A66" s="18" t="s">
        <v>810</v>
      </c>
      <c r="B66" s="38">
        <v>1</v>
      </c>
      <c r="C66" s="37" t="s">
        <v>813</v>
      </c>
      <c r="D66" s="39" t="s">
        <v>18</v>
      </c>
      <c r="E66" s="30" t="s">
        <v>111</v>
      </c>
      <c r="F66" s="18" t="s">
        <v>17</v>
      </c>
      <c r="G66" s="18">
        <v>60</v>
      </c>
      <c r="H66" s="18" t="s">
        <v>119</v>
      </c>
      <c r="J66" t="s">
        <v>101</v>
      </c>
      <c r="K66" s="18" t="s">
        <v>149</v>
      </c>
      <c r="L66" s="19" t="s">
        <v>121</v>
      </c>
      <c r="M66" s="33" t="s">
        <v>196</v>
      </c>
      <c r="N66"/>
      <c r="O66" s="18" t="s">
        <v>814</v>
      </c>
      <c r="Q66"/>
    </row>
    <row r="67" spans="1:17" x14ac:dyDescent="0.25">
      <c r="A67" s="18" t="s">
        <v>815</v>
      </c>
      <c r="B67" s="38">
        <v>1</v>
      </c>
      <c r="C67" s="37" t="s">
        <v>816</v>
      </c>
      <c r="D67" s="39" t="s">
        <v>18</v>
      </c>
      <c r="E67" s="30" t="s">
        <v>111</v>
      </c>
      <c r="F67" s="18" t="s">
        <v>17</v>
      </c>
      <c r="G67" s="18" t="s">
        <v>294</v>
      </c>
      <c r="H67" s="18" t="s">
        <v>112</v>
      </c>
      <c r="J67" t="s">
        <v>101</v>
      </c>
      <c r="L67" s="19" t="s">
        <v>114</v>
      </c>
      <c r="M67" s="33" t="s">
        <v>196</v>
      </c>
      <c r="N67"/>
      <c r="O67" s="18" t="s">
        <v>817</v>
      </c>
      <c r="Q67"/>
    </row>
    <row r="68" spans="1:17" x14ac:dyDescent="0.25">
      <c r="A68" s="18" t="s">
        <v>810</v>
      </c>
      <c r="B68" s="38">
        <v>1</v>
      </c>
      <c r="C68" s="37" t="s">
        <v>818</v>
      </c>
      <c r="D68" s="39" t="s">
        <v>18</v>
      </c>
      <c r="E68" s="30" t="s">
        <v>129</v>
      </c>
      <c r="F68" s="18" t="s">
        <v>101</v>
      </c>
      <c r="G68" s="18" t="s">
        <v>130</v>
      </c>
      <c r="H68" s="18" t="s">
        <v>131</v>
      </c>
      <c r="J68" t="s">
        <v>17</v>
      </c>
      <c r="L68" s="19" t="s">
        <v>114</v>
      </c>
      <c r="M68" s="33" t="s">
        <v>196</v>
      </c>
      <c r="N68"/>
      <c r="O68" s="18" t="s">
        <v>819</v>
      </c>
      <c r="Q68"/>
    </row>
    <row r="69" spans="1:17" ht="24" x14ac:dyDescent="0.25">
      <c r="A69" s="18" t="s">
        <v>820</v>
      </c>
      <c r="B69" s="38">
        <v>1</v>
      </c>
      <c r="C69" s="37" t="s">
        <v>821</v>
      </c>
      <c r="D69" s="39" t="s">
        <v>18</v>
      </c>
      <c r="E69" s="30" t="s">
        <v>129</v>
      </c>
      <c r="F69" s="18" t="s">
        <v>101</v>
      </c>
      <c r="G69" s="18" t="s">
        <v>822</v>
      </c>
      <c r="H69" s="18" t="s">
        <v>131</v>
      </c>
      <c r="J69" t="s">
        <v>17</v>
      </c>
      <c r="L69" s="19" t="s">
        <v>22</v>
      </c>
      <c r="M69" s="33" t="s">
        <v>196</v>
      </c>
      <c r="N69"/>
      <c r="O69" s="18" t="s">
        <v>823</v>
      </c>
      <c r="Q69"/>
    </row>
    <row r="70" spans="1:17" x14ac:dyDescent="0.25">
      <c r="A70" s="18" t="s">
        <v>824</v>
      </c>
      <c r="B70" s="38">
        <v>1</v>
      </c>
      <c r="C70" s="37" t="s">
        <v>825</v>
      </c>
      <c r="D70" s="39" t="s">
        <v>24</v>
      </c>
      <c r="E70" s="30" t="s">
        <v>111</v>
      </c>
      <c r="F70" s="18" t="s">
        <v>101</v>
      </c>
      <c r="G70" s="18" t="s">
        <v>130</v>
      </c>
      <c r="H70" s="18" t="s">
        <v>116</v>
      </c>
      <c r="J70" t="s">
        <v>17</v>
      </c>
      <c r="L70" s="19" t="s">
        <v>114</v>
      </c>
      <c r="M70" s="33" t="s">
        <v>196</v>
      </c>
      <c r="N70"/>
      <c r="O70" s="18" t="s">
        <v>826</v>
      </c>
      <c r="Q70"/>
    </row>
    <row r="71" spans="1:17" x14ac:dyDescent="0.25">
      <c r="A71" s="18" t="s">
        <v>827</v>
      </c>
      <c r="B71" s="38">
        <v>1</v>
      </c>
      <c r="C71" s="37" t="s">
        <v>828</v>
      </c>
      <c r="D71" s="39" t="s">
        <v>18</v>
      </c>
      <c r="E71" s="30" t="s">
        <v>111</v>
      </c>
      <c r="F71" s="18" t="s">
        <v>101</v>
      </c>
      <c r="G71" s="18" t="s">
        <v>294</v>
      </c>
      <c r="H71" s="18" t="s">
        <v>116</v>
      </c>
      <c r="J71" t="s">
        <v>101</v>
      </c>
      <c r="L71" s="19" t="s">
        <v>114</v>
      </c>
      <c r="M71" s="33" t="s">
        <v>196</v>
      </c>
      <c r="N71"/>
      <c r="O71" s="18" t="s">
        <v>829</v>
      </c>
      <c r="Q71"/>
    </row>
    <row r="72" spans="1:17" x14ac:dyDescent="0.25">
      <c r="A72" s="18" t="s">
        <v>830</v>
      </c>
      <c r="B72" s="38">
        <v>1</v>
      </c>
      <c r="C72" s="37" t="s">
        <v>831</v>
      </c>
      <c r="D72" s="39" t="s">
        <v>832</v>
      </c>
      <c r="E72" s="30" t="s">
        <v>118</v>
      </c>
      <c r="F72" s="18" t="s">
        <v>17</v>
      </c>
      <c r="G72" s="18" t="s">
        <v>491</v>
      </c>
      <c r="H72" s="18" t="s">
        <v>112</v>
      </c>
      <c r="J72" t="s">
        <v>17</v>
      </c>
      <c r="L72" s="19" t="s">
        <v>114</v>
      </c>
      <c r="M72" s="33" t="s">
        <v>196</v>
      </c>
      <c r="N72"/>
      <c r="O72" s="18" t="s">
        <v>833</v>
      </c>
      <c r="Q72"/>
    </row>
    <row r="73" spans="1:17" x14ac:dyDescent="0.25">
      <c r="A73" s="18" t="s">
        <v>810</v>
      </c>
      <c r="B73" s="38">
        <v>1</v>
      </c>
      <c r="C73" s="37" t="s">
        <v>834</v>
      </c>
      <c r="D73" s="39" t="s">
        <v>24</v>
      </c>
      <c r="E73" s="30" t="s">
        <v>133</v>
      </c>
      <c r="F73" s="18" t="s">
        <v>101</v>
      </c>
      <c r="G73" s="18" t="s">
        <v>544</v>
      </c>
      <c r="H73" s="18" t="s">
        <v>131</v>
      </c>
      <c r="J73" t="s">
        <v>17</v>
      </c>
      <c r="L73" s="19" t="s">
        <v>22</v>
      </c>
      <c r="M73" s="33" t="s">
        <v>196</v>
      </c>
      <c r="N73"/>
      <c r="O73" s="18" t="s">
        <v>835</v>
      </c>
      <c r="Q73"/>
    </row>
    <row r="74" spans="1:17" x14ac:dyDescent="0.25">
      <c r="A74" s="18" t="s">
        <v>857</v>
      </c>
      <c r="B74" s="38">
        <v>1</v>
      </c>
      <c r="C74" s="37" t="s">
        <v>858</v>
      </c>
      <c r="D74" s="39" t="s">
        <v>18</v>
      </c>
      <c r="E74" s="30" t="s">
        <v>148</v>
      </c>
      <c r="F74" s="18" t="s">
        <v>101</v>
      </c>
      <c r="G74" s="18">
        <v>30</v>
      </c>
      <c r="H74" s="18" t="s">
        <v>116</v>
      </c>
      <c r="J74" t="s">
        <v>17</v>
      </c>
      <c r="K74" s="18" t="s">
        <v>146</v>
      </c>
      <c r="L74" s="19" t="s">
        <v>22</v>
      </c>
      <c r="M74" s="33" t="s">
        <v>196</v>
      </c>
      <c r="N74"/>
      <c r="O74" s="18" t="s">
        <v>859</v>
      </c>
      <c r="Q74"/>
    </row>
    <row r="75" spans="1:17" x14ac:dyDescent="0.25">
      <c r="A75" s="18" t="s">
        <v>860</v>
      </c>
      <c r="B75" s="38">
        <v>1</v>
      </c>
      <c r="C75" s="37" t="s">
        <v>861</v>
      </c>
      <c r="D75" s="39" t="s">
        <v>24</v>
      </c>
      <c r="E75" s="30" t="s">
        <v>129</v>
      </c>
      <c r="F75" s="18" t="s">
        <v>101</v>
      </c>
      <c r="G75" s="18">
        <v>90</v>
      </c>
      <c r="H75" s="18" t="s">
        <v>123</v>
      </c>
      <c r="I75" s="18" t="s">
        <v>862</v>
      </c>
      <c r="J75" t="s">
        <v>17</v>
      </c>
      <c r="L75" s="19" t="s">
        <v>121</v>
      </c>
      <c r="M75" s="33" t="s">
        <v>196</v>
      </c>
      <c r="N75"/>
      <c r="O75" s="18" t="s">
        <v>863</v>
      </c>
      <c r="Q75"/>
    </row>
    <row r="76" spans="1:17" x14ac:dyDescent="0.25">
      <c r="A76" s="18" t="s">
        <v>921</v>
      </c>
      <c r="B76" s="38">
        <v>1</v>
      </c>
      <c r="C76" s="37" t="s">
        <v>922</v>
      </c>
      <c r="D76" s="39" t="s">
        <v>18</v>
      </c>
      <c r="E76" s="30" t="s">
        <v>148</v>
      </c>
      <c r="F76" s="18" t="s">
        <v>17</v>
      </c>
      <c r="G76" s="18">
        <v>30</v>
      </c>
      <c r="H76" s="18" t="s">
        <v>177</v>
      </c>
      <c r="J76" t="s">
        <v>101</v>
      </c>
      <c r="K76" s="18" t="s">
        <v>149</v>
      </c>
      <c r="L76" s="19" t="s">
        <v>22</v>
      </c>
      <c r="M76" s="33" t="s">
        <v>196</v>
      </c>
      <c r="N76"/>
      <c r="O76" s="18" t="s">
        <v>923</v>
      </c>
      <c r="Q76"/>
    </row>
    <row r="77" spans="1:17" x14ac:dyDescent="0.25">
      <c r="A77" s="18" t="s">
        <v>924</v>
      </c>
      <c r="B77" s="38">
        <v>1</v>
      </c>
      <c r="C77" s="37" t="s">
        <v>925</v>
      </c>
      <c r="D77" s="39" t="s">
        <v>18</v>
      </c>
      <c r="E77" s="30" t="s">
        <v>111</v>
      </c>
      <c r="F77" s="18" t="s">
        <v>101</v>
      </c>
      <c r="G77" s="18">
        <v>60</v>
      </c>
      <c r="H77" s="18" t="s">
        <v>116</v>
      </c>
      <c r="J77" t="s">
        <v>17</v>
      </c>
      <c r="K77" s="18" t="s">
        <v>160</v>
      </c>
      <c r="L77" s="19" t="s">
        <v>121</v>
      </c>
      <c r="M77" s="33" t="s">
        <v>196</v>
      </c>
      <c r="N77"/>
      <c r="O77" s="18" t="s">
        <v>926</v>
      </c>
      <c r="Q77"/>
    </row>
    <row r="78" spans="1:17" x14ac:dyDescent="0.25">
      <c r="A78" s="18" t="s">
        <v>927</v>
      </c>
      <c r="B78" s="38">
        <v>1</v>
      </c>
      <c r="C78" s="37" t="s">
        <v>928</v>
      </c>
      <c r="D78" s="39" t="s">
        <v>24</v>
      </c>
      <c r="E78" s="30" t="s">
        <v>111</v>
      </c>
      <c r="F78" s="18" t="s">
        <v>17</v>
      </c>
      <c r="G78" s="18">
        <v>60</v>
      </c>
      <c r="H78" s="18" t="s">
        <v>112</v>
      </c>
      <c r="I78" s="18" t="s">
        <v>929</v>
      </c>
      <c r="J78" t="s">
        <v>101</v>
      </c>
      <c r="L78" s="19" t="s">
        <v>121</v>
      </c>
      <c r="M78" s="33" t="s">
        <v>196</v>
      </c>
      <c r="N78"/>
      <c r="O78" s="18" t="s">
        <v>930</v>
      </c>
      <c r="Q78"/>
    </row>
    <row r="79" spans="1:17" x14ac:dyDescent="0.25">
      <c r="A79" s="18" t="s">
        <v>921</v>
      </c>
      <c r="B79" s="38">
        <v>1</v>
      </c>
      <c r="C79" s="37" t="s">
        <v>931</v>
      </c>
      <c r="D79" s="39" t="s">
        <v>128</v>
      </c>
      <c r="E79" s="30" t="s">
        <v>129</v>
      </c>
      <c r="F79" s="18" t="s">
        <v>17</v>
      </c>
      <c r="G79" s="18" t="s">
        <v>130</v>
      </c>
      <c r="H79" s="18" t="s">
        <v>131</v>
      </c>
      <c r="J79" t="s">
        <v>17</v>
      </c>
      <c r="L79" s="19" t="s">
        <v>114</v>
      </c>
      <c r="M79" s="33" t="s">
        <v>196</v>
      </c>
      <c r="N79"/>
      <c r="O79" s="18" t="s">
        <v>932</v>
      </c>
      <c r="Q79"/>
    </row>
    <row r="80" spans="1:17" x14ac:dyDescent="0.25">
      <c r="A80" s="18" t="s">
        <v>213</v>
      </c>
      <c r="B80" s="38">
        <v>2</v>
      </c>
      <c r="C80" s="37" t="s">
        <v>105</v>
      </c>
      <c r="D80" s="39" t="s">
        <v>18</v>
      </c>
      <c r="E80" s="30" t="s">
        <v>111</v>
      </c>
      <c r="F80" s="18" t="s">
        <v>101</v>
      </c>
      <c r="G80" s="18">
        <v>60</v>
      </c>
      <c r="H80" s="18" t="s">
        <v>131</v>
      </c>
      <c r="J80" t="s">
        <v>17</v>
      </c>
      <c r="L80" s="19" t="s">
        <v>144</v>
      </c>
      <c r="M80" s="33" t="s">
        <v>196</v>
      </c>
      <c r="N80"/>
      <c r="O80" s="18" t="s">
        <v>218</v>
      </c>
      <c r="Q80"/>
    </row>
    <row r="81" spans="1:17" x14ac:dyDescent="0.25">
      <c r="A81" s="18" t="s">
        <v>220</v>
      </c>
      <c r="B81" s="38">
        <v>2</v>
      </c>
      <c r="C81" s="37" t="s">
        <v>106</v>
      </c>
      <c r="D81" s="39" t="s">
        <v>23</v>
      </c>
      <c r="E81" s="30" t="s">
        <v>111</v>
      </c>
      <c r="F81" s="18" t="s">
        <v>17</v>
      </c>
      <c r="G81" s="18">
        <v>60</v>
      </c>
      <c r="H81" s="18" t="s">
        <v>112</v>
      </c>
      <c r="I81" s="18" t="s">
        <v>145</v>
      </c>
      <c r="J81" t="s">
        <v>17</v>
      </c>
      <c r="K81" s="18" t="s">
        <v>160</v>
      </c>
      <c r="L81" s="19" t="s">
        <v>114</v>
      </c>
      <c r="M81" s="33" t="s">
        <v>196</v>
      </c>
      <c r="N81"/>
      <c r="O81" s="18" t="s">
        <v>221</v>
      </c>
      <c r="Q81"/>
    </row>
    <row r="82" spans="1:17" x14ac:dyDescent="0.25">
      <c r="A82" s="18" t="s">
        <v>222</v>
      </c>
      <c r="B82" s="38">
        <v>2</v>
      </c>
      <c r="C82" s="37" t="s">
        <v>147</v>
      </c>
      <c r="D82" s="39" t="s">
        <v>18</v>
      </c>
      <c r="E82" s="30" t="s">
        <v>148</v>
      </c>
      <c r="F82" s="18" t="s">
        <v>101</v>
      </c>
      <c r="G82" s="18">
        <v>60</v>
      </c>
      <c r="H82" s="18" t="s">
        <v>116</v>
      </c>
      <c r="J82" t="s">
        <v>17</v>
      </c>
      <c r="K82" s="18" t="s">
        <v>149</v>
      </c>
      <c r="L82" s="19" t="s">
        <v>22</v>
      </c>
      <c r="M82" s="33" t="s">
        <v>196</v>
      </c>
      <c r="N82"/>
      <c r="O82" s="18" t="s">
        <v>223</v>
      </c>
      <c r="Q82"/>
    </row>
    <row r="83" spans="1:17" x14ac:dyDescent="0.25">
      <c r="A83" s="18" t="s">
        <v>194</v>
      </c>
      <c r="B83" s="38">
        <v>2</v>
      </c>
      <c r="C83" s="37" t="s">
        <v>150</v>
      </c>
      <c r="D83" s="39" t="s">
        <v>18</v>
      </c>
      <c r="E83" s="30" t="s">
        <v>151</v>
      </c>
      <c r="F83" s="18" t="s">
        <v>101</v>
      </c>
      <c r="G83" s="18">
        <v>0</v>
      </c>
      <c r="H83" s="18" t="s">
        <v>123</v>
      </c>
      <c r="J83" t="s">
        <v>17</v>
      </c>
      <c r="L83" s="19" t="s">
        <v>22</v>
      </c>
      <c r="M83" s="33" t="s">
        <v>196</v>
      </c>
      <c r="N83"/>
      <c r="O83" s="18" t="s">
        <v>224</v>
      </c>
      <c r="Q83"/>
    </row>
    <row r="84" spans="1:17" x14ac:dyDescent="0.25">
      <c r="A84" s="18" t="s">
        <v>213</v>
      </c>
      <c r="B84" s="38">
        <v>2</v>
      </c>
      <c r="C84" s="37" t="s">
        <v>109</v>
      </c>
      <c r="D84" s="39" t="s">
        <v>24</v>
      </c>
      <c r="E84" s="30" t="s">
        <v>100</v>
      </c>
      <c r="F84" s="18" t="s">
        <v>17</v>
      </c>
      <c r="G84" s="18" t="s">
        <v>130</v>
      </c>
      <c r="H84" s="18" t="s">
        <v>112</v>
      </c>
      <c r="J84" t="s">
        <v>17</v>
      </c>
      <c r="L84" s="19" t="s">
        <v>121</v>
      </c>
      <c r="M84" s="33" t="s">
        <v>196</v>
      </c>
      <c r="N84"/>
      <c r="O84" s="18" t="s">
        <v>225</v>
      </c>
      <c r="Q84"/>
    </row>
    <row r="85" spans="1:17" x14ac:dyDescent="0.25">
      <c r="A85" s="18" t="s">
        <v>193</v>
      </c>
      <c r="B85" s="38">
        <v>2</v>
      </c>
      <c r="C85" s="37" t="s">
        <v>152</v>
      </c>
      <c r="D85" s="39" t="s">
        <v>18</v>
      </c>
      <c r="E85" s="30" t="s">
        <v>111</v>
      </c>
      <c r="F85" s="18" t="s">
        <v>17</v>
      </c>
      <c r="G85" s="18">
        <v>120</v>
      </c>
      <c r="H85" s="18" t="s">
        <v>112</v>
      </c>
      <c r="I85" s="18" t="s">
        <v>153</v>
      </c>
      <c r="J85" t="s">
        <v>101</v>
      </c>
      <c r="L85" s="19" t="s">
        <v>114</v>
      </c>
      <c r="M85" s="33" t="s">
        <v>196</v>
      </c>
      <c r="N85"/>
      <c r="O85" s="18" t="s">
        <v>226</v>
      </c>
      <c r="Q85"/>
    </row>
    <row r="86" spans="1:17" x14ac:dyDescent="0.25">
      <c r="A86" s="18" t="s">
        <v>194</v>
      </c>
      <c r="B86" s="38">
        <v>2</v>
      </c>
      <c r="C86" s="37" t="s">
        <v>154</v>
      </c>
      <c r="D86" s="39" t="s">
        <v>18</v>
      </c>
      <c r="E86" s="30" t="s">
        <v>148</v>
      </c>
      <c r="F86" s="18" t="s">
        <v>101</v>
      </c>
      <c r="G86" s="18">
        <v>30</v>
      </c>
      <c r="H86" s="18" t="s">
        <v>134</v>
      </c>
      <c r="J86" t="s">
        <v>17</v>
      </c>
      <c r="K86" s="18" t="s">
        <v>149</v>
      </c>
      <c r="L86" s="19" t="s">
        <v>144</v>
      </c>
      <c r="M86" s="33" t="s">
        <v>196</v>
      </c>
      <c r="N86"/>
      <c r="O86" s="18" t="s">
        <v>227</v>
      </c>
      <c r="Q86"/>
    </row>
    <row r="87" spans="1:17" x14ac:dyDescent="0.25">
      <c r="A87" s="18" t="s">
        <v>287</v>
      </c>
      <c r="B87" s="38">
        <v>2</v>
      </c>
      <c r="C87" s="37" t="s">
        <v>288</v>
      </c>
      <c r="D87" s="39" t="s">
        <v>18</v>
      </c>
      <c r="E87" s="30" t="s">
        <v>100</v>
      </c>
      <c r="F87" s="18" t="s">
        <v>101</v>
      </c>
      <c r="G87" s="18">
        <v>60</v>
      </c>
      <c r="H87" s="18" t="s">
        <v>116</v>
      </c>
      <c r="I87" s="18" t="s">
        <v>153</v>
      </c>
      <c r="J87" t="s">
        <v>101</v>
      </c>
      <c r="K87" s="18" t="s">
        <v>160</v>
      </c>
      <c r="L87" s="19" t="s">
        <v>22</v>
      </c>
      <c r="M87" s="33" t="s">
        <v>196</v>
      </c>
      <c r="N87"/>
      <c r="O87" s="18" t="s">
        <v>289</v>
      </c>
      <c r="Q87"/>
    </row>
    <row r="88" spans="1:17" x14ac:dyDescent="0.25">
      <c r="A88" s="18" t="s">
        <v>201</v>
      </c>
      <c r="B88" s="38">
        <v>2</v>
      </c>
      <c r="C88" s="37" t="s">
        <v>290</v>
      </c>
      <c r="D88" s="39" t="s">
        <v>18</v>
      </c>
      <c r="E88" s="30" t="s">
        <v>118</v>
      </c>
      <c r="F88" s="18" t="s">
        <v>17</v>
      </c>
      <c r="G88" s="18">
        <v>60</v>
      </c>
      <c r="H88" s="18" t="s">
        <v>112</v>
      </c>
      <c r="J88" t="s">
        <v>17</v>
      </c>
      <c r="L88" s="19" t="s">
        <v>121</v>
      </c>
      <c r="M88" s="33" t="s">
        <v>196</v>
      </c>
      <c r="N88"/>
      <c r="O88" s="18" t="s">
        <v>291</v>
      </c>
      <c r="Q88"/>
    </row>
    <row r="89" spans="1:17" x14ac:dyDescent="0.25">
      <c r="A89" s="18" t="s">
        <v>292</v>
      </c>
      <c r="B89" s="38">
        <v>2</v>
      </c>
      <c r="C89" s="37" t="s">
        <v>293</v>
      </c>
      <c r="D89" s="39" t="s">
        <v>24</v>
      </c>
      <c r="E89" s="30" t="s">
        <v>118</v>
      </c>
      <c r="F89" s="18" t="s">
        <v>101</v>
      </c>
      <c r="G89" s="18" t="s">
        <v>294</v>
      </c>
      <c r="H89" s="18" t="s">
        <v>123</v>
      </c>
      <c r="J89" t="s">
        <v>101</v>
      </c>
      <c r="L89" s="19" t="s">
        <v>114</v>
      </c>
      <c r="M89" s="33" t="s">
        <v>196</v>
      </c>
      <c r="N89"/>
      <c r="O89" s="18" t="s">
        <v>295</v>
      </c>
      <c r="Q89"/>
    </row>
    <row r="90" spans="1:17" x14ac:dyDescent="0.25">
      <c r="A90" s="18" t="s">
        <v>99</v>
      </c>
      <c r="B90" s="38">
        <v>2</v>
      </c>
      <c r="C90" s="37" t="s">
        <v>358</v>
      </c>
      <c r="D90" s="39" t="s">
        <v>18</v>
      </c>
      <c r="E90" s="30" t="s">
        <v>111</v>
      </c>
      <c r="F90" s="18" t="s">
        <v>17</v>
      </c>
      <c r="G90" s="18">
        <v>90</v>
      </c>
      <c r="H90" s="18" t="s">
        <v>112</v>
      </c>
      <c r="I90" s="18" t="s">
        <v>359</v>
      </c>
      <c r="J90" t="s">
        <v>101</v>
      </c>
      <c r="L90" s="19" t="s">
        <v>22</v>
      </c>
      <c r="M90" s="33" t="s">
        <v>196</v>
      </c>
      <c r="N90"/>
      <c r="O90" s="18" t="s">
        <v>258</v>
      </c>
      <c r="Q90"/>
    </row>
    <row r="91" spans="1:17" x14ac:dyDescent="0.25">
      <c r="A91" s="18" t="s">
        <v>193</v>
      </c>
      <c r="B91" s="38">
        <v>2</v>
      </c>
      <c r="C91" s="37" t="s">
        <v>360</v>
      </c>
      <c r="D91" s="39" t="s">
        <v>18</v>
      </c>
      <c r="E91" s="30" t="s">
        <v>118</v>
      </c>
      <c r="F91" s="18" t="s">
        <v>101</v>
      </c>
      <c r="G91" s="18" t="s">
        <v>130</v>
      </c>
      <c r="H91" s="18" t="s">
        <v>123</v>
      </c>
      <c r="J91" t="s">
        <v>17</v>
      </c>
      <c r="L91" s="19" t="s">
        <v>114</v>
      </c>
      <c r="M91" s="33" t="s">
        <v>196</v>
      </c>
      <c r="N91"/>
      <c r="O91" s="18" t="s">
        <v>361</v>
      </c>
      <c r="Q91"/>
    </row>
    <row r="92" spans="1:17" ht="30" x14ac:dyDescent="0.25">
      <c r="A92" s="18" t="s">
        <v>99</v>
      </c>
      <c r="B92" s="38">
        <v>2</v>
      </c>
      <c r="C92" s="37" t="s">
        <v>362</v>
      </c>
      <c r="D92" s="39" t="s">
        <v>18</v>
      </c>
      <c r="E92" s="30" t="s">
        <v>133</v>
      </c>
      <c r="F92" s="18" t="s">
        <v>17</v>
      </c>
      <c r="G92" s="18" t="s">
        <v>294</v>
      </c>
      <c r="H92" s="18" t="s">
        <v>363</v>
      </c>
      <c r="J92" t="s">
        <v>17</v>
      </c>
      <c r="L92" s="19" t="s">
        <v>364</v>
      </c>
      <c r="M92" s="33" t="s">
        <v>196</v>
      </c>
      <c r="N92"/>
      <c r="O92" s="18" t="s">
        <v>365</v>
      </c>
      <c r="Q92"/>
    </row>
    <row r="93" spans="1:17" x14ac:dyDescent="0.25">
      <c r="A93" s="18" t="s">
        <v>99</v>
      </c>
      <c r="B93" s="38">
        <v>2</v>
      </c>
      <c r="C93" s="37" t="s">
        <v>366</v>
      </c>
      <c r="D93" s="39" t="s">
        <v>18</v>
      </c>
      <c r="E93" s="30" t="s">
        <v>151</v>
      </c>
      <c r="F93" s="18" t="s">
        <v>17</v>
      </c>
      <c r="G93" s="18" t="s">
        <v>294</v>
      </c>
      <c r="H93" s="18" t="s">
        <v>177</v>
      </c>
      <c r="J93" t="s">
        <v>17</v>
      </c>
      <c r="L93" s="19" t="s">
        <v>22</v>
      </c>
      <c r="M93" s="33" t="s">
        <v>196</v>
      </c>
      <c r="N93"/>
      <c r="O93" s="18" t="s">
        <v>367</v>
      </c>
      <c r="Q93"/>
    </row>
    <row r="94" spans="1:17" x14ac:dyDescent="0.25">
      <c r="A94" s="18" t="s">
        <v>498</v>
      </c>
      <c r="B94" s="38">
        <v>2</v>
      </c>
      <c r="C94" s="37" t="s">
        <v>368</v>
      </c>
      <c r="D94" s="39" t="s">
        <v>18</v>
      </c>
      <c r="E94" s="30" t="s">
        <v>140</v>
      </c>
      <c r="F94" s="18" t="s">
        <v>17</v>
      </c>
      <c r="G94" s="18">
        <v>30</v>
      </c>
      <c r="H94" s="18" t="s">
        <v>116</v>
      </c>
      <c r="J94" t="s">
        <v>101</v>
      </c>
      <c r="K94" s="18" t="s">
        <v>142</v>
      </c>
      <c r="L94" s="19" t="s">
        <v>121</v>
      </c>
      <c r="M94" s="33" t="s">
        <v>196</v>
      </c>
      <c r="N94"/>
      <c r="O94" s="18" t="s">
        <v>369</v>
      </c>
      <c r="Q94"/>
    </row>
    <row r="95" spans="1:17" x14ac:dyDescent="0.25">
      <c r="A95" s="18" t="s">
        <v>193</v>
      </c>
      <c r="B95" s="38">
        <v>2</v>
      </c>
      <c r="C95" s="37" t="s">
        <v>370</v>
      </c>
      <c r="D95" s="39" t="s">
        <v>18</v>
      </c>
      <c r="E95" s="30" t="s">
        <v>151</v>
      </c>
      <c r="F95" s="18" t="s">
        <v>101</v>
      </c>
      <c r="G95" s="18" t="s">
        <v>130</v>
      </c>
      <c r="H95" s="18" t="s">
        <v>116</v>
      </c>
      <c r="J95" t="s">
        <v>17</v>
      </c>
      <c r="L95" s="19" t="s">
        <v>121</v>
      </c>
      <c r="M95" s="33" t="s">
        <v>196</v>
      </c>
      <c r="N95"/>
      <c r="O95" s="18" t="s">
        <v>371</v>
      </c>
      <c r="Q95"/>
    </row>
    <row r="96" spans="1:17" ht="30" x14ac:dyDescent="0.25">
      <c r="A96" s="18" t="s">
        <v>489</v>
      </c>
      <c r="B96" s="38">
        <v>2</v>
      </c>
      <c r="C96" s="37" t="s">
        <v>372</v>
      </c>
      <c r="D96" s="39" t="s">
        <v>18</v>
      </c>
      <c r="E96" s="30" t="s">
        <v>111</v>
      </c>
      <c r="F96" s="18" t="s">
        <v>17</v>
      </c>
      <c r="G96" s="18" t="s">
        <v>294</v>
      </c>
      <c r="H96" s="18" t="s">
        <v>363</v>
      </c>
      <c r="J96" t="s">
        <v>17</v>
      </c>
      <c r="L96" s="19" t="s">
        <v>373</v>
      </c>
      <c r="M96" s="33" t="s">
        <v>196</v>
      </c>
      <c r="N96"/>
      <c r="O96" s="18" t="s">
        <v>374</v>
      </c>
      <c r="Q96"/>
    </row>
    <row r="97" spans="1:15" x14ac:dyDescent="0.25">
      <c r="A97" s="18" t="s">
        <v>263</v>
      </c>
      <c r="B97" s="38">
        <v>2</v>
      </c>
      <c r="C97" s="37" t="s">
        <v>375</v>
      </c>
      <c r="D97" s="39" t="s">
        <v>18</v>
      </c>
      <c r="E97" s="30" t="s">
        <v>118</v>
      </c>
      <c r="F97" s="18" t="s">
        <v>17</v>
      </c>
      <c r="G97" s="18" t="s">
        <v>294</v>
      </c>
      <c r="H97" s="18" t="s">
        <v>134</v>
      </c>
      <c r="J97" t="s">
        <v>17</v>
      </c>
      <c r="L97" s="19" t="s">
        <v>22</v>
      </c>
      <c r="M97" s="33" t="s">
        <v>196</v>
      </c>
      <c r="N97"/>
      <c r="O97" s="18" t="s">
        <v>376</v>
      </c>
    </row>
    <row r="98" spans="1:15" x14ac:dyDescent="0.25">
      <c r="A98" s="18" t="s">
        <v>201</v>
      </c>
      <c r="B98" s="38">
        <v>2</v>
      </c>
      <c r="C98" s="37" t="s">
        <v>377</v>
      </c>
      <c r="D98" s="39" t="s">
        <v>18</v>
      </c>
      <c r="E98" s="30" t="s">
        <v>129</v>
      </c>
      <c r="F98" s="18" t="s">
        <v>101</v>
      </c>
      <c r="G98" s="18" t="s">
        <v>130</v>
      </c>
      <c r="H98" s="18" t="s">
        <v>116</v>
      </c>
      <c r="J98" t="s">
        <v>17</v>
      </c>
      <c r="K98" s="18" t="s">
        <v>149</v>
      </c>
      <c r="L98" s="19"/>
      <c r="M98" s="33" t="s">
        <v>196</v>
      </c>
      <c r="N98"/>
      <c r="O98" s="18" t="s">
        <v>378</v>
      </c>
    </row>
    <row r="99" spans="1:15" x14ac:dyDescent="0.25">
      <c r="A99" s="18" t="s">
        <v>193</v>
      </c>
      <c r="B99" s="38">
        <v>2</v>
      </c>
      <c r="C99" s="37" t="s">
        <v>379</v>
      </c>
      <c r="D99" s="39" t="s">
        <v>18</v>
      </c>
      <c r="E99" s="30" t="s">
        <v>118</v>
      </c>
      <c r="F99" s="18" t="s">
        <v>101</v>
      </c>
      <c r="G99" s="18">
        <v>30</v>
      </c>
      <c r="H99" s="18" t="s">
        <v>116</v>
      </c>
      <c r="J99" t="s">
        <v>17</v>
      </c>
      <c r="K99" s="18" t="s">
        <v>142</v>
      </c>
      <c r="L99" s="19" t="s">
        <v>22</v>
      </c>
      <c r="M99" s="33" t="s">
        <v>196</v>
      </c>
      <c r="N99"/>
      <c r="O99" s="18" t="s">
        <v>380</v>
      </c>
    </row>
    <row r="100" spans="1:15" x14ac:dyDescent="0.25">
      <c r="A100" s="18" t="s">
        <v>489</v>
      </c>
      <c r="B100" s="38">
        <v>2</v>
      </c>
      <c r="C100" s="37" t="s">
        <v>381</v>
      </c>
      <c r="D100" s="39" t="s">
        <v>18</v>
      </c>
      <c r="E100" s="30" t="s">
        <v>140</v>
      </c>
      <c r="F100" s="18" t="s">
        <v>17</v>
      </c>
      <c r="G100" s="18" t="s">
        <v>294</v>
      </c>
      <c r="H100" s="18" t="s">
        <v>187</v>
      </c>
      <c r="J100" t="s">
        <v>17</v>
      </c>
      <c r="L100" s="19" t="s">
        <v>22</v>
      </c>
      <c r="M100" s="33" t="s">
        <v>196</v>
      </c>
      <c r="N100"/>
      <c r="O100" s="18" t="s">
        <v>382</v>
      </c>
    </row>
    <row r="101" spans="1:15" x14ac:dyDescent="0.25">
      <c r="A101" s="18" t="s">
        <v>247</v>
      </c>
      <c r="B101" s="38">
        <v>2</v>
      </c>
      <c r="C101" s="37" t="s">
        <v>383</v>
      </c>
      <c r="D101" s="39" t="s">
        <v>18</v>
      </c>
      <c r="E101" s="30" t="s">
        <v>111</v>
      </c>
      <c r="F101" s="18" t="s">
        <v>101</v>
      </c>
      <c r="G101" s="18" t="s">
        <v>384</v>
      </c>
      <c r="H101" s="18" t="s">
        <v>116</v>
      </c>
      <c r="J101" t="s">
        <v>17</v>
      </c>
      <c r="K101" s="18" t="s">
        <v>385</v>
      </c>
      <c r="L101" s="19" t="s">
        <v>22</v>
      </c>
      <c r="M101" s="33" t="s">
        <v>196</v>
      </c>
      <c r="N101"/>
      <c r="O101" s="18" t="s">
        <v>386</v>
      </c>
    </row>
    <row r="102" spans="1:15" x14ac:dyDescent="0.25">
      <c r="A102" s="18" t="s">
        <v>193</v>
      </c>
      <c r="B102" s="38">
        <v>2</v>
      </c>
      <c r="C102" s="37" t="s">
        <v>387</v>
      </c>
      <c r="D102" s="39" t="s">
        <v>18</v>
      </c>
      <c r="E102" s="30" t="s">
        <v>118</v>
      </c>
      <c r="F102" s="18" t="s">
        <v>101</v>
      </c>
      <c r="G102" s="18">
        <v>60</v>
      </c>
      <c r="H102" s="18" t="s">
        <v>131</v>
      </c>
      <c r="J102" t="s">
        <v>17</v>
      </c>
      <c r="K102" s="18" t="s">
        <v>142</v>
      </c>
      <c r="L102" s="19" t="s">
        <v>22</v>
      </c>
      <c r="M102" s="33" t="s">
        <v>196</v>
      </c>
      <c r="N102"/>
      <c r="O102" s="18" t="s">
        <v>388</v>
      </c>
    </row>
    <row r="103" spans="1:15" x14ac:dyDescent="0.25">
      <c r="A103" s="18" t="s">
        <v>567</v>
      </c>
      <c r="B103" s="38">
        <v>2</v>
      </c>
      <c r="C103" s="37" t="s">
        <v>389</v>
      </c>
      <c r="D103" s="39" t="s">
        <v>18</v>
      </c>
      <c r="E103" s="30" t="s">
        <v>129</v>
      </c>
      <c r="F103" s="18" t="s">
        <v>101</v>
      </c>
      <c r="G103" s="18" t="s">
        <v>130</v>
      </c>
      <c r="H103" s="18" t="s">
        <v>131</v>
      </c>
      <c r="J103" t="s">
        <v>17</v>
      </c>
      <c r="L103" s="19" t="s">
        <v>22</v>
      </c>
      <c r="M103" s="33" t="s">
        <v>196</v>
      </c>
      <c r="N103"/>
      <c r="O103" s="18" t="s">
        <v>390</v>
      </c>
    </row>
    <row r="104" spans="1:15" ht="30" x14ac:dyDescent="0.25">
      <c r="A104" s="18" t="s">
        <v>238</v>
      </c>
      <c r="B104" s="38">
        <v>2</v>
      </c>
      <c r="C104" s="37" t="s">
        <v>391</v>
      </c>
      <c r="D104" s="39" t="s">
        <v>392</v>
      </c>
      <c r="E104" s="30" t="s">
        <v>151</v>
      </c>
      <c r="F104" s="18" t="s">
        <v>17</v>
      </c>
      <c r="G104" s="18">
        <v>30</v>
      </c>
      <c r="H104" s="18" t="s">
        <v>363</v>
      </c>
      <c r="J104" t="s">
        <v>17</v>
      </c>
      <c r="L104" s="19" t="s">
        <v>393</v>
      </c>
      <c r="M104" s="33" t="s">
        <v>196</v>
      </c>
      <c r="N104"/>
      <c r="O104" s="18" t="s">
        <v>394</v>
      </c>
    </row>
    <row r="105" spans="1:15" x14ac:dyDescent="0.25">
      <c r="A105" s="18" t="s">
        <v>213</v>
      </c>
      <c r="B105" s="38">
        <v>2</v>
      </c>
      <c r="C105" s="37" t="s">
        <v>395</v>
      </c>
      <c r="D105" s="39" t="s">
        <v>18</v>
      </c>
      <c r="E105" s="30" t="s">
        <v>151</v>
      </c>
      <c r="F105" s="18" t="s">
        <v>17</v>
      </c>
      <c r="G105" s="18" t="s">
        <v>130</v>
      </c>
      <c r="H105" s="18" t="s">
        <v>116</v>
      </c>
      <c r="J105" t="s">
        <v>17</v>
      </c>
      <c r="L105" s="19" t="s">
        <v>114</v>
      </c>
      <c r="M105" s="33" t="s">
        <v>196</v>
      </c>
      <c r="N105"/>
      <c r="O105" s="18" t="s">
        <v>396</v>
      </c>
    </row>
    <row r="106" spans="1:15" x14ac:dyDescent="0.25">
      <c r="A106" s="18" t="s">
        <v>245</v>
      </c>
      <c r="B106" s="38">
        <v>2</v>
      </c>
      <c r="C106" s="37" t="s">
        <v>397</v>
      </c>
      <c r="D106" s="39" t="s">
        <v>18</v>
      </c>
      <c r="E106" s="30" t="s">
        <v>140</v>
      </c>
      <c r="F106" s="18" t="s">
        <v>101</v>
      </c>
      <c r="G106" s="18">
        <v>60</v>
      </c>
      <c r="H106" s="18" t="s">
        <v>116</v>
      </c>
      <c r="J106" t="s">
        <v>17</v>
      </c>
      <c r="K106" s="18" t="s">
        <v>142</v>
      </c>
      <c r="L106" s="19" t="s">
        <v>114</v>
      </c>
      <c r="M106" s="33" t="s">
        <v>196</v>
      </c>
      <c r="N106"/>
      <c r="O106" s="18" t="s">
        <v>398</v>
      </c>
    </row>
    <row r="107" spans="1:15" x14ac:dyDescent="0.25">
      <c r="A107" s="18" t="s">
        <v>99</v>
      </c>
      <c r="B107" s="38">
        <v>2</v>
      </c>
      <c r="C107" s="37" t="s">
        <v>399</v>
      </c>
      <c r="D107" s="39" t="s">
        <v>18</v>
      </c>
      <c r="E107" s="30" t="s">
        <v>118</v>
      </c>
      <c r="F107" s="18" t="s">
        <v>17</v>
      </c>
      <c r="G107" s="18" t="s">
        <v>294</v>
      </c>
      <c r="H107" s="18" t="s">
        <v>123</v>
      </c>
      <c r="J107" t="s">
        <v>17</v>
      </c>
      <c r="L107" s="19" t="s">
        <v>22</v>
      </c>
      <c r="M107" s="33" t="s">
        <v>196</v>
      </c>
      <c r="N107"/>
      <c r="O107" s="18" t="s">
        <v>400</v>
      </c>
    </row>
    <row r="108" spans="1:15" x14ac:dyDescent="0.25">
      <c r="A108" s="18" t="s">
        <v>201</v>
      </c>
      <c r="B108" s="38">
        <v>2</v>
      </c>
      <c r="C108" s="37" t="s">
        <v>401</v>
      </c>
      <c r="D108" s="39" t="s">
        <v>18</v>
      </c>
      <c r="E108" s="30" t="s">
        <v>129</v>
      </c>
      <c r="F108" s="18" t="s">
        <v>17</v>
      </c>
      <c r="G108" s="18" t="s">
        <v>130</v>
      </c>
      <c r="H108" s="18" t="s">
        <v>123</v>
      </c>
      <c r="J108" t="s">
        <v>17</v>
      </c>
      <c r="L108" s="19" t="s">
        <v>22</v>
      </c>
      <c r="M108" s="33" t="s">
        <v>196</v>
      </c>
      <c r="N108"/>
      <c r="O108" s="18" t="s">
        <v>402</v>
      </c>
    </row>
    <row r="109" spans="1:15" x14ac:dyDescent="0.25">
      <c r="A109" s="18" t="s">
        <v>194</v>
      </c>
      <c r="B109" s="38">
        <v>2</v>
      </c>
      <c r="C109" s="37" t="s">
        <v>403</v>
      </c>
      <c r="D109" s="39" t="s">
        <v>18</v>
      </c>
      <c r="E109" s="30" t="s">
        <v>111</v>
      </c>
      <c r="F109" s="18" t="s">
        <v>17</v>
      </c>
      <c r="G109" s="18">
        <v>60</v>
      </c>
      <c r="H109" s="18" t="s">
        <v>112</v>
      </c>
      <c r="I109" s="18" t="s">
        <v>126</v>
      </c>
      <c r="J109" t="s">
        <v>101</v>
      </c>
      <c r="K109" s="18" t="s">
        <v>142</v>
      </c>
      <c r="L109" s="19" t="s">
        <v>22</v>
      </c>
      <c r="M109" s="33" t="s">
        <v>196</v>
      </c>
      <c r="N109"/>
      <c r="O109" s="18" t="s">
        <v>404</v>
      </c>
    </row>
    <row r="110" spans="1:15" x14ac:dyDescent="0.25">
      <c r="A110" s="18" t="s">
        <v>213</v>
      </c>
      <c r="B110" s="38">
        <v>2</v>
      </c>
      <c r="C110" s="37" t="s">
        <v>405</v>
      </c>
      <c r="D110" s="39" t="s">
        <v>18</v>
      </c>
      <c r="E110" s="30" t="s">
        <v>118</v>
      </c>
      <c r="F110" s="18" t="s">
        <v>101</v>
      </c>
      <c r="G110" s="18" t="s">
        <v>294</v>
      </c>
      <c r="H110" s="18" t="s">
        <v>123</v>
      </c>
      <c r="J110" t="s">
        <v>17</v>
      </c>
      <c r="L110" s="19" t="s">
        <v>22</v>
      </c>
      <c r="M110" s="33" t="s">
        <v>196</v>
      </c>
      <c r="N110"/>
      <c r="O110" s="18" t="s">
        <v>406</v>
      </c>
    </row>
    <row r="111" spans="1:15" x14ac:dyDescent="0.25">
      <c r="A111" s="18" t="s">
        <v>193</v>
      </c>
      <c r="B111" s="38">
        <v>2</v>
      </c>
      <c r="C111" s="37" t="s">
        <v>407</v>
      </c>
      <c r="D111" s="39" t="s">
        <v>18</v>
      </c>
      <c r="E111" s="30" t="s">
        <v>100</v>
      </c>
      <c r="F111" s="18" t="s">
        <v>101</v>
      </c>
      <c r="G111" s="18">
        <v>60</v>
      </c>
      <c r="H111" s="18" t="s">
        <v>123</v>
      </c>
      <c r="J111" t="s">
        <v>17</v>
      </c>
      <c r="K111" s="18" t="s">
        <v>160</v>
      </c>
      <c r="L111" s="19" t="s">
        <v>22</v>
      </c>
      <c r="M111" s="33" t="s">
        <v>196</v>
      </c>
      <c r="N111"/>
      <c r="O111" s="18" t="s">
        <v>408</v>
      </c>
    </row>
    <row r="112" spans="1:15" x14ac:dyDescent="0.25">
      <c r="A112" s="18" t="s">
        <v>810</v>
      </c>
      <c r="B112" s="38">
        <v>2</v>
      </c>
      <c r="C112" s="37" t="s">
        <v>836</v>
      </c>
      <c r="D112" s="39" t="s">
        <v>18</v>
      </c>
      <c r="E112" s="30" t="s">
        <v>133</v>
      </c>
      <c r="F112" s="18" t="s">
        <v>17</v>
      </c>
      <c r="G112" s="18">
        <v>30</v>
      </c>
      <c r="H112" s="18" t="s">
        <v>134</v>
      </c>
      <c r="J112" t="s">
        <v>101</v>
      </c>
      <c r="L112" s="19" t="s">
        <v>22</v>
      </c>
      <c r="M112" s="33" t="s">
        <v>196</v>
      </c>
      <c r="N112"/>
      <c r="O112" s="18" t="s">
        <v>837</v>
      </c>
    </row>
    <row r="113" spans="1:15" x14ac:dyDescent="0.25">
      <c r="A113" s="18" t="s">
        <v>824</v>
      </c>
      <c r="B113" s="38">
        <v>2</v>
      </c>
      <c r="C113" s="37" t="s">
        <v>838</v>
      </c>
      <c r="D113" s="39" t="s">
        <v>24</v>
      </c>
      <c r="E113" s="30" t="s">
        <v>111</v>
      </c>
      <c r="F113" s="18" t="s">
        <v>101</v>
      </c>
      <c r="G113" s="18" t="s">
        <v>130</v>
      </c>
      <c r="H113" s="18" t="s">
        <v>116</v>
      </c>
      <c r="I113" s="18" t="s">
        <v>153</v>
      </c>
      <c r="J113" t="s">
        <v>17</v>
      </c>
      <c r="L113" s="19" t="s">
        <v>121</v>
      </c>
      <c r="M113" s="33" t="s">
        <v>196</v>
      </c>
      <c r="N113"/>
      <c r="O113" s="18" t="s">
        <v>839</v>
      </c>
    </row>
    <row r="114" spans="1:15" x14ac:dyDescent="0.25">
      <c r="A114" s="18" t="s">
        <v>824</v>
      </c>
      <c r="B114" s="38">
        <v>2</v>
      </c>
      <c r="C114" s="37" t="s">
        <v>840</v>
      </c>
      <c r="D114" s="39" t="s">
        <v>131</v>
      </c>
      <c r="E114" s="30" t="s">
        <v>100</v>
      </c>
      <c r="F114" s="18" t="s">
        <v>17</v>
      </c>
      <c r="G114" s="18" t="s">
        <v>516</v>
      </c>
      <c r="H114" s="18" t="s">
        <v>112</v>
      </c>
      <c r="J114" t="s">
        <v>17</v>
      </c>
      <c r="L114" s="19" t="s">
        <v>114</v>
      </c>
      <c r="M114" s="33" t="s">
        <v>196</v>
      </c>
      <c r="N114"/>
      <c r="O114" s="18" t="s">
        <v>841</v>
      </c>
    </row>
    <row r="115" spans="1:15" x14ac:dyDescent="0.25">
      <c r="A115" s="18" t="s">
        <v>815</v>
      </c>
      <c r="B115" s="38">
        <v>2</v>
      </c>
      <c r="C115" s="37" t="s">
        <v>842</v>
      </c>
      <c r="D115" s="39" t="s">
        <v>18</v>
      </c>
      <c r="E115" s="30" t="s">
        <v>133</v>
      </c>
      <c r="F115" s="18" t="s">
        <v>17</v>
      </c>
      <c r="G115" s="18" t="s">
        <v>294</v>
      </c>
      <c r="H115" s="18" t="s">
        <v>112</v>
      </c>
      <c r="J115" t="s">
        <v>17</v>
      </c>
      <c r="L115" s="19" t="s">
        <v>114</v>
      </c>
      <c r="M115" s="33" t="s">
        <v>196</v>
      </c>
      <c r="N115"/>
      <c r="O115" s="18" t="s">
        <v>843</v>
      </c>
    </row>
    <row r="116" spans="1:15" ht="24" x14ac:dyDescent="0.25">
      <c r="A116" s="18" t="s">
        <v>820</v>
      </c>
      <c r="B116" s="38">
        <v>2</v>
      </c>
      <c r="C116" s="37" t="s">
        <v>844</v>
      </c>
      <c r="D116" s="39" t="s">
        <v>18</v>
      </c>
      <c r="E116" s="30" t="s">
        <v>133</v>
      </c>
      <c r="F116" s="18" t="s">
        <v>17</v>
      </c>
      <c r="G116" s="18" t="s">
        <v>294</v>
      </c>
      <c r="H116" s="18" t="s">
        <v>123</v>
      </c>
      <c r="J116" t="s">
        <v>17</v>
      </c>
      <c r="L116" s="19" t="s">
        <v>114</v>
      </c>
      <c r="M116" s="33" t="s">
        <v>196</v>
      </c>
      <c r="N116"/>
      <c r="O116" s="18" t="s">
        <v>845</v>
      </c>
    </row>
    <row r="117" spans="1:15" x14ac:dyDescent="0.25">
      <c r="A117" s="18" t="s">
        <v>846</v>
      </c>
      <c r="B117" s="38">
        <v>2</v>
      </c>
      <c r="C117" s="37" t="s">
        <v>847</v>
      </c>
      <c r="D117" s="39" t="s">
        <v>18</v>
      </c>
      <c r="E117" s="30" t="s">
        <v>148</v>
      </c>
      <c r="F117" s="18" t="s">
        <v>17</v>
      </c>
      <c r="G117" s="18">
        <v>60</v>
      </c>
      <c r="H117" s="18" t="s">
        <v>131</v>
      </c>
      <c r="J117" t="s">
        <v>17</v>
      </c>
      <c r="K117" s="18" t="s">
        <v>146</v>
      </c>
      <c r="L117" s="19" t="s">
        <v>114</v>
      </c>
      <c r="M117" s="33" t="s">
        <v>196</v>
      </c>
      <c r="N117"/>
      <c r="O117" s="18" t="s">
        <v>848</v>
      </c>
    </row>
    <row r="118" spans="1:15" x14ac:dyDescent="0.25">
      <c r="A118" s="18" t="s">
        <v>921</v>
      </c>
      <c r="B118" s="38">
        <v>2</v>
      </c>
      <c r="C118" s="37" t="s">
        <v>933</v>
      </c>
      <c r="D118" s="39" t="s">
        <v>128</v>
      </c>
      <c r="E118" s="30" t="s">
        <v>148</v>
      </c>
      <c r="F118" s="18" t="s">
        <v>17</v>
      </c>
      <c r="G118" s="18">
        <v>30</v>
      </c>
      <c r="H118" s="18" t="s">
        <v>177</v>
      </c>
      <c r="J118" t="s">
        <v>101</v>
      </c>
      <c r="L118" s="19" t="s">
        <v>22</v>
      </c>
      <c r="M118" s="33" t="s">
        <v>196</v>
      </c>
      <c r="N118"/>
      <c r="O118" s="18" t="s">
        <v>934</v>
      </c>
    </row>
    <row r="119" spans="1:15" x14ac:dyDescent="0.25">
      <c r="A119" s="18" t="s">
        <v>857</v>
      </c>
      <c r="B119" s="38">
        <v>2</v>
      </c>
      <c r="C119" s="37" t="s">
        <v>935</v>
      </c>
      <c r="D119" s="39" t="s">
        <v>18</v>
      </c>
      <c r="E119" s="30" t="s">
        <v>148</v>
      </c>
      <c r="F119" s="18" t="s">
        <v>101</v>
      </c>
      <c r="G119" s="18">
        <v>60</v>
      </c>
      <c r="H119" s="18" t="s">
        <v>116</v>
      </c>
      <c r="J119" t="s">
        <v>17</v>
      </c>
      <c r="K119" s="18" t="s">
        <v>146</v>
      </c>
      <c r="L119" s="19"/>
      <c r="M119" s="33" t="s">
        <v>196</v>
      </c>
      <c r="N119"/>
      <c r="O119" s="18" t="s">
        <v>936</v>
      </c>
    </row>
    <row r="120" spans="1:15" x14ac:dyDescent="0.25">
      <c r="A120" s="18" t="s">
        <v>937</v>
      </c>
      <c r="B120" s="38">
        <v>2</v>
      </c>
      <c r="C120" s="37" t="s">
        <v>938</v>
      </c>
      <c r="D120" s="39" t="s">
        <v>18</v>
      </c>
      <c r="E120" s="30" t="s">
        <v>118</v>
      </c>
      <c r="F120" s="18" t="s">
        <v>101</v>
      </c>
      <c r="G120" s="18" t="s">
        <v>294</v>
      </c>
      <c r="H120" s="18" t="s">
        <v>123</v>
      </c>
      <c r="J120" t="s">
        <v>101</v>
      </c>
      <c r="L120" s="19" t="s">
        <v>22</v>
      </c>
      <c r="M120" s="33" t="s">
        <v>196</v>
      </c>
      <c r="N120"/>
      <c r="O120" s="18" t="s">
        <v>939</v>
      </c>
    </row>
    <row r="121" spans="1:15" x14ac:dyDescent="0.25">
      <c r="A121" s="18" t="s">
        <v>940</v>
      </c>
      <c r="B121" s="38">
        <v>2</v>
      </c>
      <c r="C121" s="37" t="s">
        <v>941</v>
      </c>
      <c r="D121" s="39" t="s">
        <v>18</v>
      </c>
      <c r="E121" s="30" t="s">
        <v>148</v>
      </c>
      <c r="F121" s="18" t="s">
        <v>17</v>
      </c>
      <c r="G121" s="18">
        <v>60</v>
      </c>
      <c r="H121" s="18" t="s">
        <v>116</v>
      </c>
      <c r="J121" t="s">
        <v>17</v>
      </c>
      <c r="K121" s="18" t="s">
        <v>149</v>
      </c>
      <c r="L121" s="19" t="s">
        <v>114</v>
      </c>
      <c r="M121" s="33" t="s">
        <v>196</v>
      </c>
      <c r="N121"/>
      <c r="O121" s="18" t="s">
        <v>942</v>
      </c>
    </row>
    <row r="122" spans="1:15" x14ac:dyDescent="0.25">
      <c r="A122" s="18" t="s">
        <v>924</v>
      </c>
      <c r="B122" s="38">
        <v>2</v>
      </c>
      <c r="C122" s="37" t="s">
        <v>943</v>
      </c>
      <c r="D122" s="39" t="s">
        <v>18</v>
      </c>
      <c r="E122" s="30" t="s">
        <v>118</v>
      </c>
      <c r="F122" s="18" t="s">
        <v>101</v>
      </c>
      <c r="G122" s="18">
        <v>60</v>
      </c>
      <c r="H122" s="18" t="s">
        <v>116</v>
      </c>
      <c r="I122" s="18" t="s">
        <v>153</v>
      </c>
      <c r="J122" t="s">
        <v>101</v>
      </c>
      <c r="K122" s="18" t="s">
        <v>142</v>
      </c>
      <c r="L122" s="19" t="s">
        <v>22</v>
      </c>
      <c r="M122" s="33" t="s">
        <v>196</v>
      </c>
      <c r="N122"/>
      <c r="O122" s="18" t="s">
        <v>944</v>
      </c>
    </row>
    <row r="123" spans="1:15" ht="24" x14ac:dyDescent="0.25">
      <c r="A123" s="18" t="s">
        <v>921</v>
      </c>
      <c r="B123" s="38">
        <v>2</v>
      </c>
      <c r="C123" s="37" t="s">
        <v>945</v>
      </c>
      <c r="D123" s="39" t="s">
        <v>128</v>
      </c>
      <c r="E123" s="30" t="s">
        <v>129</v>
      </c>
      <c r="F123" s="18" t="s">
        <v>17</v>
      </c>
      <c r="G123" s="18" t="s">
        <v>130</v>
      </c>
      <c r="H123" s="18" t="s">
        <v>112</v>
      </c>
      <c r="J123" t="s">
        <v>17</v>
      </c>
      <c r="L123" s="19" t="s">
        <v>22</v>
      </c>
      <c r="M123" s="33" t="s">
        <v>196</v>
      </c>
      <c r="N123"/>
      <c r="O123" s="18" t="s">
        <v>946</v>
      </c>
    </row>
    <row r="124" spans="1:15" x14ac:dyDescent="0.25">
      <c r="A124" s="18" t="s">
        <v>947</v>
      </c>
      <c r="B124" s="38">
        <v>2</v>
      </c>
      <c r="C124" s="37" t="s">
        <v>948</v>
      </c>
      <c r="D124" s="39" t="s">
        <v>128</v>
      </c>
      <c r="E124" s="30" t="s">
        <v>151</v>
      </c>
      <c r="F124" s="18" t="s">
        <v>101</v>
      </c>
      <c r="G124" s="18">
        <v>120</v>
      </c>
      <c r="H124" s="18" t="s">
        <v>131</v>
      </c>
      <c r="J124" t="s">
        <v>17</v>
      </c>
      <c r="L124" s="19" t="s">
        <v>114</v>
      </c>
      <c r="M124" s="33" t="s">
        <v>196</v>
      </c>
      <c r="N124"/>
      <c r="O124" s="18" t="s">
        <v>949</v>
      </c>
    </row>
    <row r="125" spans="1:15" x14ac:dyDescent="0.25">
      <c r="A125" s="18" t="s">
        <v>213</v>
      </c>
      <c r="B125" s="38">
        <v>3</v>
      </c>
      <c r="C125" s="37" t="s">
        <v>108</v>
      </c>
      <c r="D125" s="39" t="s">
        <v>23</v>
      </c>
      <c r="E125" s="30" t="s">
        <v>133</v>
      </c>
      <c r="F125" s="18" t="s">
        <v>17</v>
      </c>
      <c r="G125" s="18">
        <v>60</v>
      </c>
      <c r="H125" s="18" t="s">
        <v>112</v>
      </c>
      <c r="J125" t="s">
        <v>101</v>
      </c>
      <c r="L125" s="19" t="s">
        <v>124</v>
      </c>
      <c r="M125" s="33" t="s">
        <v>196</v>
      </c>
      <c r="N125"/>
      <c r="O125" s="18" t="s">
        <v>228</v>
      </c>
    </row>
    <row r="126" spans="1:15" x14ac:dyDescent="0.25">
      <c r="A126" s="18" t="s">
        <v>229</v>
      </c>
      <c r="B126" s="38">
        <v>3</v>
      </c>
      <c r="C126" s="37" t="s">
        <v>155</v>
      </c>
      <c r="D126" s="39" t="s">
        <v>18</v>
      </c>
      <c r="E126" s="30" t="s">
        <v>133</v>
      </c>
      <c r="F126" s="18" t="s">
        <v>17</v>
      </c>
      <c r="G126" s="18">
        <v>120</v>
      </c>
      <c r="H126" s="18" t="s">
        <v>112</v>
      </c>
      <c r="J126" t="s">
        <v>101</v>
      </c>
      <c r="L126" s="19" t="s">
        <v>114</v>
      </c>
      <c r="M126" s="33" t="s">
        <v>196</v>
      </c>
      <c r="N126"/>
      <c r="O126" s="18" t="s">
        <v>230</v>
      </c>
    </row>
    <row r="127" spans="1:15" x14ac:dyDescent="0.25">
      <c r="A127" s="18" t="s">
        <v>213</v>
      </c>
      <c r="B127" s="38">
        <v>3</v>
      </c>
      <c r="C127" s="37" t="s">
        <v>156</v>
      </c>
      <c r="D127" s="39" t="s">
        <v>18</v>
      </c>
      <c r="E127" s="30" t="s">
        <v>118</v>
      </c>
      <c r="F127" s="18" t="s">
        <v>101</v>
      </c>
      <c r="G127" s="18">
        <v>0</v>
      </c>
      <c r="H127" s="18" t="s">
        <v>131</v>
      </c>
      <c r="J127" t="s">
        <v>101</v>
      </c>
      <c r="L127" s="19" t="s">
        <v>22</v>
      </c>
      <c r="M127" s="33" t="s">
        <v>196</v>
      </c>
      <c r="N127"/>
      <c r="O127" s="18" t="s">
        <v>231</v>
      </c>
    </row>
    <row r="128" spans="1:15" ht="30" x14ac:dyDescent="0.25">
      <c r="A128" s="18" t="s">
        <v>232</v>
      </c>
      <c r="B128" s="38">
        <v>3</v>
      </c>
      <c r="C128" s="37" t="s">
        <v>157</v>
      </c>
      <c r="D128" s="39" t="s">
        <v>123</v>
      </c>
      <c r="E128" s="30" t="s">
        <v>133</v>
      </c>
      <c r="F128" s="18" t="s">
        <v>17</v>
      </c>
      <c r="G128" s="18">
        <v>0</v>
      </c>
      <c r="H128" s="18" t="s">
        <v>158</v>
      </c>
      <c r="I128" s="18" t="s">
        <v>159</v>
      </c>
      <c r="J128" t="s">
        <v>101</v>
      </c>
      <c r="K128" s="18" t="s">
        <v>160</v>
      </c>
      <c r="L128" s="19" t="s">
        <v>234</v>
      </c>
      <c r="M128" s="33" t="s">
        <v>196</v>
      </c>
      <c r="N128"/>
      <c r="O128" s="18" t="s">
        <v>233</v>
      </c>
    </row>
    <row r="129" spans="1:15" x14ac:dyDescent="0.25">
      <c r="A129" s="18" t="s">
        <v>193</v>
      </c>
      <c r="B129" s="38">
        <v>3</v>
      </c>
      <c r="C129" s="37" t="s">
        <v>161</v>
      </c>
      <c r="D129" s="39" t="s">
        <v>18</v>
      </c>
      <c r="E129" s="30" t="s">
        <v>118</v>
      </c>
      <c r="F129" s="18" t="s">
        <v>101</v>
      </c>
      <c r="G129" s="18">
        <v>30</v>
      </c>
      <c r="H129" s="18" t="s">
        <v>116</v>
      </c>
      <c r="J129" t="s">
        <v>17</v>
      </c>
      <c r="L129" s="19" t="s">
        <v>22</v>
      </c>
      <c r="M129" s="33" t="s">
        <v>196</v>
      </c>
      <c r="N129"/>
      <c r="O129" s="18" t="s">
        <v>235</v>
      </c>
    </row>
    <row r="130" spans="1:15" x14ac:dyDescent="0.25">
      <c r="A130" s="18" t="s">
        <v>193</v>
      </c>
      <c r="B130" s="38">
        <v>3</v>
      </c>
      <c r="C130" s="37" t="s">
        <v>162</v>
      </c>
      <c r="D130" s="39" t="s">
        <v>18</v>
      </c>
      <c r="E130" s="30" t="s">
        <v>111</v>
      </c>
      <c r="F130" s="18" t="s">
        <v>17</v>
      </c>
      <c r="G130" s="18">
        <v>100</v>
      </c>
      <c r="H130" s="18" t="s">
        <v>112</v>
      </c>
      <c r="I130" s="18" t="s">
        <v>163</v>
      </c>
      <c r="J130" t="s">
        <v>101</v>
      </c>
      <c r="K130" s="18" t="s">
        <v>160</v>
      </c>
      <c r="L130" s="19" t="s">
        <v>22</v>
      </c>
      <c r="M130" s="33" t="s">
        <v>196</v>
      </c>
      <c r="N130"/>
      <c r="O130" s="18" t="s">
        <v>236</v>
      </c>
    </row>
    <row r="131" spans="1:15" x14ac:dyDescent="0.25">
      <c r="A131" s="18" t="s">
        <v>194</v>
      </c>
      <c r="B131" s="38">
        <v>3</v>
      </c>
      <c r="C131" s="37" t="s">
        <v>164</v>
      </c>
      <c r="D131" s="39" t="s">
        <v>18</v>
      </c>
      <c r="E131" s="30" t="s">
        <v>151</v>
      </c>
      <c r="F131" s="18" t="s">
        <v>101</v>
      </c>
      <c r="G131" s="18">
        <v>120</v>
      </c>
      <c r="H131" s="18" t="s">
        <v>131</v>
      </c>
      <c r="J131" t="s">
        <v>101</v>
      </c>
      <c r="L131" s="19" t="s">
        <v>22</v>
      </c>
      <c r="M131" s="33" t="s">
        <v>196</v>
      </c>
      <c r="N131"/>
      <c r="O131" s="18" t="s">
        <v>237</v>
      </c>
    </row>
    <row r="132" spans="1:15" x14ac:dyDescent="0.25">
      <c r="A132" s="18" t="s">
        <v>238</v>
      </c>
      <c r="B132" s="38">
        <v>3</v>
      </c>
      <c r="C132" s="37" t="s">
        <v>165</v>
      </c>
      <c r="D132" s="39" t="s">
        <v>166</v>
      </c>
      <c r="E132" s="30" t="s">
        <v>111</v>
      </c>
      <c r="F132" s="18" t="s">
        <v>17</v>
      </c>
      <c r="G132" s="18" t="s">
        <v>130</v>
      </c>
      <c r="H132" s="18" t="s">
        <v>134</v>
      </c>
      <c r="J132" t="s">
        <v>17</v>
      </c>
      <c r="L132" s="19" t="s">
        <v>22</v>
      </c>
      <c r="M132" s="33" t="s">
        <v>196</v>
      </c>
      <c r="N132"/>
      <c r="O132" s="18" t="s">
        <v>239</v>
      </c>
    </row>
    <row r="133" spans="1:15" x14ac:dyDescent="0.25">
      <c r="A133" s="18" t="s">
        <v>193</v>
      </c>
      <c r="B133" s="38">
        <v>3</v>
      </c>
      <c r="C133" s="37" t="s">
        <v>167</v>
      </c>
      <c r="D133" s="39" t="s">
        <v>18</v>
      </c>
      <c r="E133" s="30" t="s">
        <v>111</v>
      </c>
      <c r="F133" s="18" t="s">
        <v>17</v>
      </c>
      <c r="G133" s="18">
        <v>150</v>
      </c>
      <c r="H133" s="18" t="s">
        <v>112</v>
      </c>
      <c r="I133" s="18" t="s">
        <v>163</v>
      </c>
      <c r="J133" t="s">
        <v>101</v>
      </c>
      <c r="K133" s="18" t="s">
        <v>160</v>
      </c>
      <c r="L133" s="19" t="s">
        <v>22</v>
      </c>
      <c r="M133" s="33" t="s">
        <v>196</v>
      </c>
      <c r="N133"/>
      <c r="O133" s="18" t="s">
        <v>240</v>
      </c>
    </row>
    <row r="134" spans="1:15" x14ac:dyDescent="0.25">
      <c r="A134" s="18" t="s">
        <v>489</v>
      </c>
      <c r="B134" s="38">
        <v>3</v>
      </c>
      <c r="C134" s="37" t="s">
        <v>490</v>
      </c>
      <c r="D134" s="39" t="s">
        <v>116</v>
      </c>
      <c r="E134" s="30" t="s">
        <v>140</v>
      </c>
      <c r="F134" s="18" t="s">
        <v>17</v>
      </c>
      <c r="G134" s="18" t="s">
        <v>491</v>
      </c>
      <c r="H134" s="18" t="s">
        <v>112</v>
      </c>
      <c r="J134" t="s">
        <v>101</v>
      </c>
      <c r="L134" s="19" t="s">
        <v>22</v>
      </c>
      <c r="M134" s="33" t="s">
        <v>196</v>
      </c>
      <c r="N134"/>
      <c r="O134" s="18" t="s">
        <v>492</v>
      </c>
    </row>
    <row r="135" spans="1:15" x14ac:dyDescent="0.25">
      <c r="A135" s="18" t="s">
        <v>232</v>
      </c>
      <c r="B135" s="38">
        <v>3</v>
      </c>
      <c r="C135" s="37" t="s">
        <v>493</v>
      </c>
      <c r="D135" s="39" t="s">
        <v>18</v>
      </c>
      <c r="E135" s="30" t="s">
        <v>140</v>
      </c>
      <c r="F135" s="18" t="s">
        <v>101</v>
      </c>
      <c r="G135" s="18" t="s">
        <v>294</v>
      </c>
      <c r="H135" s="18" t="s">
        <v>116</v>
      </c>
      <c r="J135" t="s">
        <v>101</v>
      </c>
      <c r="K135" s="18" t="s">
        <v>149</v>
      </c>
      <c r="L135" s="19"/>
      <c r="M135" s="33" t="s">
        <v>196</v>
      </c>
      <c r="N135"/>
      <c r="O135" s="18" t="s">
        <v>494</v>
      </c>
    </row>
    <row r="136" spans="1:15" x14ac:dyDescent="0.25">
      <c r="A136" s="18" t="s">
        <v>193</v>
      </c>
      <c r="B136" s="38">
        <v>3</v>
      </c>
      <c r="C136" s="37" t="s">
        <v>495</v>
      </c>
      <c r="D136" s="39" t="s">
        <v>18</v>
      </c>
      <c r="E136" s="30" t="s">
        <v>118</v>
      </c>
      <c r="F136" s="18" t="s">
        <v>17</v>
      </c>
      <c r="G136" s="18" t="s">
        <v>496</v>
      </c>
      <c r="H136" s="18" t="s">
        <v>116</v>
      </c>
      <c r="J136" t="s">
        <v>17</v>
      </c>
      <c r="L136" s="19" t="s">
        <v>114</v>
      </c>
      <c r="M136" s="33" t="s">
        <v>196</v>
      </c>
      <c r="N136"/>
      <c r="O136" s="18" t="s">
        <v>497</v>
      </c>
    </row>
    <row r="137" spans="1:15" x14ac:dyDescent="0.25">
      <c r="A137" s="18" t="s">
        <v>498</v>
      </c>
      <c r="B137" s="38">
        <v>3</v>
      </c>
      <c r="C137" s="37" t="s">
        <v>499</v>
      </c>
      <c r="D137" s="39" t="s">
        <v>131</v>
      </c>
      <c r="E137" s="30" t="s">
        <v>129</v>
      </c>
      <c r="F137" s="18" t="s">
        <v>101</v>
      </c>
      <c r="G137" s="18" t="s">
        <v>500</v>
      </c>
      <c r="H137" s="18" t="s">
        <v>131</v>
      </c>
      <c r="J137" t="s">
        <v>17</v>
      </c>
      <c r="L137" s="19"/>
      <c r="M137" s="33" t="s">
        <v>196</v>
      </c>
      <c r="N137"/>
      <c r="O137" s="18" t="s">
        <v>501</v>
      </c>
    </row>
    <row r="138" spans="1:15" x14ac:dyDescent="0.25">
      <c r="A138" s="18" t="s">
        <v>194</v>
      </c>
      <c r="B138" s="38">
        <v>3</v>
      </c>
      <c r="C138" s="37" t="s">
        <v>502</v>
      </c>
      <c r="D138" s="39" t="s">
        <v>18</v>
      </c>
      <c r="E138" s="30" t="s">
        <v>151</v>
      </c>
      <c r="F138" s="18" t="s">
        <v>101</v>
      </c>
      <c r="G138" s="18">
        <v>30</v>
      </c>
      <c r="H138" s="18" t="s">
        <v>116</v>
      </c>
      <c r="J138" t="s">
        <v>17</v>
      </c>
      <c r="K138" s="18" t="s">
        <v>149</v>
      </c>
      <c r="L138" s="19" t="s">
        <v>22</v>
      </c>
      <c r="M138" s="33" t="s">
        <v>196</v>
      </c>
      <c r="N138"/>
      <c r="O138" s="18" t="s">
        <v>503</v>
      </c>
    </row>
    <row r="139" spans="1:15" x14ac:dyDescent="0.25">
      <c r="A139" s="18" t="s">
        <v>213</v>
      </c>
      <c r="B139" s="38">
        <v>3</v>
      </c>
      <c r="C139" s="37" t="s">
        <v>504</v>
      </c>
      <c r="D139" s="39" t="s">
        <v>18</v>
      </c>
      <c r="E139" s="30" t="s">
        <v>118</v>
      </c>
      <c r="F139" s="18" t="s">
        <v>101</v>
      </c>
      <c r="G139" s="18" t="s">
        <v>294</v>
      </c>
      <c r="H139" s="18" t="s">
        <v>123</v>
      </c>
      <c r="J139" t="s">
        <v>17</v>
      </c>
      <c r="L139" s="19" t="s">
        <v>22</v>
      </c>
      <c r="M139" s="33" t="s">
        <v>196</v>
      </c>
      <c r="N139"/>
      <c r="O139" s="18" t="s">
        <v>505</v>
      </c>
    </row>
    <row r="140" spans="1:15" x14ac:dyDescent="0.25">
      <c r="A140" s="18" t="s">
        <v>194</v>
      </c>
      <c r="B140" s="38">
        <v>3</v>
      </c>
      <c r="C140" s="37" t="s">
        <v>506</v>
      </c>
      <c r="D140" s="39" t="s">
        <v>18</v>
      </c>
      <c r="E140" s="30" t="s">
        <v>151</v>
      </c>
      <c r="F140" s="18" t="s">
        <v>101</v>
      </c>
      <c r="G140" s="18" t="s">
        <v>507</v>
      </c>
      <c r="H140" s="18" t="s">
        <v>116</v>
      </c>
      <c r="J140" t="s">
        <v>17</v>
      </c>
      <c r="K140" s="18" t="s">
        <v>149</v>
      </c>
      <c r="L140" s="19" t="s">
        <v>508</v>
      </c>
      <c r="M140" s="33" t="s">
        <v>196</v>
      </c>
      <c r="N140"/>
      <c r="O140" s="18" t="s">
        <v>509</v>
      </c>
    </row>
    <row r="141" spans="1:15" x14ac:dyDescent="0.25">
      <c r="A141" s="18" t="s">
        <v>216</v>
      </c>
      <c r="B141" s="38">
        <v>3</v>
      </c>
      <c r="C141" s="37" t="s">
        <v>510</v>
      </c>
      <c r="D141" s="39" t="s">
        <v>116</v>
      </c>
      <c r="E141" s="30" t="s">
        <v>133</v>
      </c>
      <c r="F141" s="18" t="s">
        <v>17</v>
      </c>
      <c r="G141" s="18" t="s">
        <v>491</v>
      </c>
      <c r="H141" s="18" t="s">
        <v>123</v>
      </c>
      <c r="J141" t="s">
        <v>101</v>
      </c>
      <c r="L141" s="19" t="s">
        <v>22</v>
      </c>
      <c r="M141" s="33" t="s">
        <v>196</v>
      </c>
      <c r="N141"/>
      <c r="O141" s="18" t="s">
        <v>511</v>
      </c>
    </row>
    <row r="142" spans="1:15" x14ac:dyDescent="0.25">
      <c r="A142" s="18" t="s">
        <v>512</v>
      </c>
      <c r="B142" s="38">
        <v>3</v>
      </c>
      <c r="C142" s="37" t="s">
        <v>513</v>
      </c>
      <c r="D142" s="39" t="s">
        <v>18</v>
      </c>
      <c r="E142" s="30" t="s">
        <v>133</v>
      </c>
      <c r="F142" s="18" t="s">
        <v>17</v>
      </c>
      <c r="G142" s="18" t="s">
        <v>294</v>
      </c>
      <c r="H142" s="18" t="s">
        <v>134</v>
      </c>
      <c r="J142" t="s">
        <v>17</v>
      </c>
      <c r="L142" s="19" t="s">
        <v>22</v>
      </c>
      <c r="M142" s="33" t="s">
        <v>196</v>
      </c>
      <c r="N142"/>
      <c r="O142" s="18" t="s">
        <v>514</v>
      </c>
    </row>
    <row r="143" spans="1:15" x14ac:dyDescent="0.25">
      <c r="A143" s="18" t="s">
        <v>99</v>
      </c>
      <c r="B143" s="38">
        <v>3</v>
      </c>
      <c r="C143" s="37" t="s">
        <v>515</v>
      </c>
      <c r="D143" s="39" t="s">
        <v>166</v>
      </c>
      <c r="E143" s="30" t="s">
        <v>151</v>
      </c>
      <c r="F143" s="18" t="s">
        <v>17</v>
      </c>
      <c r="G143" s="18" t="s">
        <v>516</v>
      </c>
      <c r="H143" s="18" t="s">
        <v>123</v>
      </c>
      <c r="J143" t="s">
        <v>17</v>
      </c>
      <c r="L143" s="19" t="s">
        <v>114</v>
      </c>
      <c r="M143" s="33" t="s">
        <v>196</v>
      </c>
      <c r="N143"/>
      <c r="O143" s="18" t="s">
        <v>517</v>
      </c>
    </row>
    <row r="144" spans="1:15" ht="24" x14ac:dyDescent="0.25">
      <c r="A144" s="18" t="s">
        <v>518</v>
      </c>
      <c r="B144" s="38">
        <v>3</v>
      </c>
      <c r="C144" s="37" t="s">
        <v>519</v>
      </c>
      <c r="D144" s="39" t="s">
        <v>18</v>
      </c>
      <c r="E144" s="30" t="s">
        <v>133</v>
      </c>
      <c r="F144" s="18" t="s">
        <v>101</v>
      </c>
      <c r="G144" s="18" t="s">
        <v>294</v>
      </c>
      <c r="H144" s="18" t="s">
        <v>123</v>
      </c>
      <c r="J144" t="s">
        <v>17</v>
      </c>
      <c r="L144" s="19" t="s">
        <v>114</v>
      </c>
      <c r="M144" s="33" t="s">
        <v>196</v>
      </c>
      <c r="N144"/>
      <c r="O144" s="18" t="s">
        <v>520</v>
      </c>
    </row>
    <row r="145" spans="1:15" x14ac:dyDescent="0.25">
      <c r="A145" s="18" t="s">
        <v>216</v>
      </c>
      <c r="B145" s="38">
        <v>3</v>
      </c>
      <c r="C145" s="37" t="s">
        <v>521</v>
      </c>
      <c r="D145" s="39" t="s">
        <v>18</v>
      </c>
      <c r="E145" s="30" t="s">
        <v>133</v>
      </c>
      <c r="F145" s="18" t="s">
        <v>17</v>
      </c>
      <c r="G145" s="18" t="s">
        <v>294</v>
      </c>
      <c r="H145" s="18" t="s">
        <v>112</v>
      </c>
      <c r="J145" t="s">
        <v>17</v>
      </c>
      <c r="L145" s="19" t="s">
        <v>114</v>
      </c>
      <c r="M145" s="33" t="s">
        <v>196</v>
      </c>
      <c r="N145"/>
      <c r="O145" s="18" t="s">
        <v>522</v>
      </c>
    </row>
    <row r="146" spans="1:15" x14ac:dyDescent="0.25">
      <c r="A146" s="18" t="s">
        <v>232</v>
      </c>
      <c r="B146" s="38">
        <v>3</v>
      </c>
      <c r="C146" s="37" t="s">
        <v>523</v>
      </c>
      <c r="D146" s="39" t="s">
        <v>18</v>
      </c>
      <c r="E146" s="30" t="s">
        <v>111</v>
      </c>
      <c r="F146" s="18" t="s">
        <v>17</v>
      </c>
      <c r="G146" s="18" t="s">
        <v>524</v>
      </c>
      <c r="H146" s="18" t="s">
        <v>119</v>
      </c>
      <c r="J146" t="s">
        <v>17</v>
      </c>
      <c r="L146" s="19" t="s">
        <v>22</v>
      </c>
      <c r="M146" s="33" t="s">
        <v>196</v>
      </c>
      <c r="N146"/>
      <c r="O146" s="18" t="s">
        <v>525</v>
      </c>
    </row>
    <row r="147" spans="1:15" x14ac:dyDescent="0.25">
      <c r="A147" s="18" t="s">
        <v>247</v>
      </c>
      <c r="B147" s="38">
        <v>3</v>
      </c>
      <c r="C147" s="37" t="s">
        <v>526</v>
      </c>
      <c r="D147" s="39" t="s">
        <v>18</v>
      </c>
      <c r="E147" s="30" t="s">
        <v>100</v>
      </c>
      <c r="F147" s="18" t="s">
        <v>101</v>
      </c>
      <c r="G147" s="18" t="s">
        <v>527</v>
      </c>
      <c r="H147" s="18" t="s">
        <v>116</v>
      </c>
      <c r="J147" t="s">
        <v>17</v>
      </c>
      <c r="K147" s="18" t="s">
        <v>160</v>
      </c>
      <c r="L147" s="19" t="s">
        <v>22</v>
      </c>
      <c r="M147" s="33" t="s">
        <v>196</v>
      </c>
      <c r="N147"/>
      <c r="O147" s="18" t="s">
        <v>528</v>
      </c>
    </row>
    <row r="148" spans="1:15" x14ac:dyDescent="0.25">
      <c r="A148" s="18" t="s">
        <v>193</v>
      </c>
      <c r="B148" s="38">
        <v>3</v>
      </c>
      <c r="C148" s="37" t="s">
        <v>529</v>
      </c>
      <c r="D148" s="39" t="s">
        <v>18</v>
      </c>
      <c r="E148" s="30" t="s">
        <v>118</v>
      </c>
      <c r="F148" s="18" t="s">
        <v>101</v>
      </c>
      <c r="G148" s="18" t="s">
        <v>507</v>
      </c>
      <c r="H148" s="18" t="s">
        <v>116</v>
      </c>
      <c r="J148" t="s">
        <v>17</v>
      </c>
      <c r="K148" s="18" t="s">
        <v>149</v>
      </c>
      <c r="L148" s="19"/>
      <c r="M148" s="33" t="s">
        <v>196</v>
      </c>
      <c r="N148"/>
      <c r="O148" s="18" t="s">
        <v>530</v>
      </c>
    </row>
    <row r="149" spans="1:15" x14ac:dyDescent="0.25">
      <c r="A149" s="18" t="s">
        <v>201</v>
      </c>
      <c r="B149" s="38">
        <v>3</v>
      </c>
      <c r="C149" s="37" t="s">
        <v>531</v>
      </c>
      <c r="D149" s="39" t="s">
        <v>18</v>
      </c>
      <c r="E149" s="30" t="s">
        <v>100</v>
      </c>
      <c r="F149" s="18" t="s">
        <v>101</v>
      </c>
      <c r="G149" s="18" t="s">
        <v>532</v>
      </c>
      <c r="H149" s="18" t="s">
        <v>116</v>
      </c>
      <c r="J149" t="s">
        <v>17</v>
      </c>
      <c r="K149" s="18" t="s">
        <v>142</v>
      </c>
      <c r="L149" s="19" t="s">
        <v>22</v>
      </c>
      <c r="M149" s="33" t="s">
        <v>196</v>
      </c>
      <c r="N149"/>
      <c r="O149" s="18" t="s">
        <v>533</v>
      </c>
    </row>
    <row r="150" spans="1:15" x14ac:dyDescent="0.25">
      <c r="A150" s="18" t="s">
        <v>257</v>
      </c>
      <c r="B150" s="38">
        <v>3</v>
      </c>
      <c r="C150" s="37" t="s">
        <v>534</v>
      </c>
      <c r="D150" s="39" t="s">
        <v>18</v>
      </c>
      <c r="E150" s="30" t="s">
        <v>129</v>
      </c>
      <c r="F150" s="18" t="s">
        <v>17</v>
      </c>
      <c r="G150" s="18" t="s">
        <v>294</v>
      </c>
      <c r="H150" s="18" t="s">
        <v>123</v>
      </c>
      <c r="J150" t="s">
        <v>17</v>
      </c>
      <c r="L150" s="19" t="s">
        <v>22</v>
      </c>
      <c r="M150" s="33" t="s">
        <v>196</v>
      </c>
      <c r="N150"/>
      <c r="O150" s="18" t="s">
        <v>535</v>
      </c>
    </row>
    <row r="151" spans="1:15" x14ac:dyDescent="0.25">
      <c r="A151" s="18" t="s">
        <v>245</v>
      </c>
      <c r="B151" s="38">
        <v>3</v>
      </c>
      <c r="C151" s="37" t="s">
        <v>536</v>
      </c>
      <c r="D151" s="39" t="s">
        <v>18</v>
      </c>
      <c r="E151" s="30" t="s">
        <v>140</v>
      </c>
      <c r="F151" s="18" t="s">
        <v>101</v>
      </c>
      <c r="G151" s="18" t="s">
        <v>130</v>
      </c>
      <c r="H151" s="18" t="s">
        <v>116</v>
      </c>
      <c r="I151" s="18" t="s">
        <v>169</v>
      </c>
      <c r="J151" t="s">
        <v>101</v>
      </c>
      <c r="L151" s="19" t="s">
        <v>114</v>
      </c>
      <c r="M151" s="33" t="s">
        <v>196</v>
      </c>
      <c r="N151"/>
      <c r="O151" s="18" t="s">
        <v>537</v>
      </c>
    </row>
    <row r="152" spans="1:15" x14ac:dyDescent="0.25">
      <c r="A152" s="18" t="s">
        <v>263</v>
      </c>
      <c r="B152" s="38">
        <v>3</v>
      </c>
      <c r="C152" s="37" t="s">
        <v>538</v>
      </c>
      <c r="D152" s="39" t="s">
        <v>18</v>
      </c>
      <c r="E152" s="30" t="s">
        <v>118</v>
      </c>
      <c r="F152" s="18" t="s">
        <v>17</v>
      </c>
      <c r="G152" s="18">
        <v>30</v>
      </c>
      <c r="H152" s="18" t="s">
        <v>177</v>
      </c>
      <c r="J152" t="s">
        <v>17</v>
      </c>
      <c r="L152" s="19" t="s">
        <v>22</v>
      </c>
      <c r="M152" s="33" t="s">
        <v>196</v>
      </c>
      <c r="N152"/>
      <c r="O152" s="18" t="s">
        <v>539</v>
      </c>
    </row>
    <row r="153" spans="1:15" x14ac:dyDescent="0.25">
      <c r="A153" s="18" t="s">
        <v>921</v>
      </c>
      <c r="B153" s="38">
        <v>3</v>
      </c>
      <c r="C153" s="37" t="s">
        <v>950</v>
      </c>
      <c r="D153" s="39" t="s">
        <v>951</v>
      </c>
      <c r="E153" s="30" t="s">
        <v>118</v>
      </c>
      <c r="F153" s="18" t="s">
        <v>17</v>
      </c>
      <c r="G153" s="18">
        <v>150</v>
      </c>
      <c r="H153" s="18" t="s">
        <v>112</v>
      </c>
      <c r="J153" t="s">
        <v>17</v>
      </c>
      <c r="L153" s="19" t="s">
        <v>114</v>
      </c>
      <c r="M153" s="33" t="s">
        <v>196</v>
      </c>
      <c r="N153"/>
      <c r="O153" s="18" t="s">
        <v>952</v>
      </c>
    </row>
    <row r="154" spans="1:15" x14ac:dyDescent="0.25">
      <c r="A154" s="18" t="s">
        <v>857</v>
      </c>
      <c r="B154" s="38">
        <v>3</v>
      </c>
      <c r="C154" s="37" t="s">
        <v>953</v>
      </c>
      <c r="D154" s="39" t="s">
        <v>18</v>
      </c>
      <c r="E154" s="30" t="s">
        <v>140</v>
      </c>
      <c r="F154" s="18" t="s">
        <v>17</v>
      </c>
      <c r="G154" s="18">
        <v>10</v>
      </c>
      <c r="H154" s="18" t="s">
        <v>131</v>
      </c>
      <c r="J154" t="s">
        <v>17</v>
      </c>
      <c r="L154" s="19" t="s">
        <v>22</v>
      </c>
      <c r="M154" s="33" t="s">
        <v>196</v>
      </c>
      <c r="N154"/>
      <c r="O154" s="18" t="s">
        <v>954</v>
      </c>
    </row>
    <row r="155" spans="1:15" x14ac:dyDescent="0.25">
      <c r="A155" s="18" t="s">
        <v>921</v>
      </c>
      <c r="B155" s="38">
        <v>3</v>
      </c>
      <c r="C155" s="37" t="s">
        <v>955</v>
      </c>
      <c r="D155" s="39" t="s">
        <v>18</v>
      </c>
      <c r="E155" s="30" t="s">
        <v>118</v>
      </c>
      <c r="F155" s="18" t="s">
        <v>17</v>
      </c>
      <c r="G155" s="18" t="s">
        <v>956</v>
      </c>
      <c r="H155" s="18" t="s">
        <v>131</v>
      </c>
      <c r="J155" t="s">
        <v>17</v>
      </c>
      <c r="L155" s="19" t="s">
        <v>114</v>
      </c>
      <c r="M155" s="33" t="s">
        <v>196</v>
      </c>
      <c r="N155"/>
      <c r="O155" s="18" t="s">
        <v>957</v>
      </c>
    </row>
    <row r="156" spans="1:15" x14ac:dyDescent="0.25">
      <c r="A156" s="18" t="s">
        <v>830</v>
      </c>
      <c r="B156" s="38">
        <v>3</v>
      </c>
      <c r="C156" s="37" t="s">
        <v>1038</v>
      </c>
      <c r="D156" s="39" t="s">
        <v>18</v>
      </c>
      <c r="E156" s="30" t="s">
        <v>111</v>
      </c>
      <c r="F156" s="18" t="s">
        <v>101</v>
      </c>
      <c r="G156" s="18" t="s">
        <v>1039</v>
      </c>
      <c r="H156" s="18" t="s">
        <v>116</v>
      </c>
      <c r="J156" t="s">
        <v>17</v>
      </c>
      <c r="L156" s="19" t="s">
        <v>121</v>
      </c>
      <c r="M156" s="33" t="s">
        <v>196</v>
      </c>
      <c r="N156"/>
      <c r="O156" s="18" t="s">
        <v>1040</v>
      </c>
    </row>
    <row r="157" spans="1:15" x14ac:dyDescent="0.25">
      <c r="A157" s="18" t="s">
        <v>824</v>
      </c>
      <c r="B157" s="38">
        <v>3</v>
      </c>
      <c r="C157" s="37" t="s">
        <v>1041</v>
      </c>
      <c r="D157" s="39" t="s">
        <v>24</v>
      </c>
      <c r="E157" s="30" t="s">
        <v>111</v>
      </c>
      <c r="F157" s="18" t="s">
        <v>101</v>
      </c>
      <c r="G157" s="18" t="s">
        <v>130</v>
      </c>
      <c r="H157" s="18" t="s">
        <v>116</v>
      </c>
      <c r="I157" s="18" t="s">
        <v>126</v>
      </c>
      <c r="J157" t="s">
        <v>17</v>
      </c>
      <c r="K157" s="18" t="s">
        <v>142</v>
      </c>
      <c r="L157" s="19" t="s">
        <v>121</v>
      </c>
      <c r="M157" s="33" t="s">
        <v>196</v>
      </c>
      <c r="N157"/>
      <c r="O157" s="18" t="s">
        <v>1042</v>
      </c>
    </row>
    <row r="158" spans="1:15" ht="24" x14ac:dyDescent="0.25">
      <c r="A158" s="18" t="s">
        <v>1043</v>
      </c>
      <c r="B158" s="38">
        <v>3</v>
      </c>
      <c r="C158" s="37" t="s">
        <v>1044</v>
      </c>
      <c r="D158" s="39" t="s">
        <v>18</v>
      </c>
      <c r="E158" s="30" t="s">
        <v>100</v>
      </c>
      <c r="F158" s="18" t="s">
        <v>17</v>
      </c>
      <c r="G158" s="18">
        <v>30</v>
      </c>
      <c r="H158" s="18" t="s">
        <v>112</v>
      </c>
      <c r="J158" t="s">
        <v>17</v>
      </c>
      <c r="L158" s="19" t="s">
        <v>114</v>
      </c>
      <c r="M158" s="33" t="s">
        <v>196</v>
      </c>
      <c r="N158"/>
      <c r="O158" s="18" t="s">
        <v>1045</v>
      </c>
    </row>
    <row r="159" spans="1:15" x14ac:dyDescent="0.25">
      <c r="A159" s="18" t="s">
        <v>824</v>
      </c>
      <c r="B159" s="38">
        <v>3</v>
      </c>
      <c r="C159" s="37" t="s">
        <v>1046</v>
      </c>
      <c r="D159" s="39" t="s">
        <v>18</v>
      </c>
      <c r="E159" s="30" t="s">
        <v>111</v>
      </c>
      <c r="F159" s="18" t="s">
        <v>101</v>
      </c>
      <c r="G159" s="18" t="s">
        <v>1039</v>
      </c>
      <c r="H159" s="18" t="s">
        <v>116</v>
      </c>
      <c r="I159" s="18" t="s">
        <v>1047</v>
      </c>
      <c r="J159" t="s">
        <v>17</v>
      </c>
      <c r="L159" s="19"/>
      <c r="M159" s="33" t="s">
        <v>196</v>
      </c>
      <c r="N159"/>
      <c r="O159" s="18" t="s">
        <v>1048</v>
      </c>
    </row>
    <row r="160" spans="1:15" x14ac:dyDescent="0.25">
      <c r="A160" s="18" t="s">
        <v>1049</v>
      </c>
      <c r="B160" s="38">
        <v>3</v>
      </c>
      <c r="C160" s="37" t="s">
        <v>1050</v>
      </c>
      <c r="D160" s="39" t="s">
        <v>18</v>
      </c>
      <c r="E160" s="30" t="s">
        <v>111</v>
      </c>
      <c r="F160" s="18" t="s">
        <v>17</v>
      </c>
      <c r="G160" s="18">
        <v>60</v>
      </c>
      <c r="H160" s="18" t="s">
        <v>123</v>
      </c>
      <c r="J160" t="s">
        <v>17</v>
      </c>
      <c r="L160" s="19" t="s">
        <v>114</v>
      </c>
      <c r="M160" s="33" t="s">
        <v>196</v>
      </c>
      <c r="N160"/>
      <c r="O160" s="18" t="s">
        <v>1051</v>
      </c>
    </row>
    <row r="161" spans="1:15" x14ac:dyDescent="0.25">
      <c r="A161" s="18" t="s">
        <v>1052</v>
      </c>
      <c r="B161" s="38">
        <v>3</v>
      </c>
      <c r="C161" s="37" t="s">
        <v>1053</v>
      </c>
      <c r="D161" s="39" t="s">
        <v>18</v>
      </c>
      <c r="E161" s="30" t="s">
        <v>118</v>
      </c>
      <c r="F161" s="18" t="s">
        <v>101</v>
      </c>
      <c r="G161" s="18" t="s">
        <v>294</v>
      </c>
      <c r="H161" s="18" t="s">
        <v>123</v>
      </c>
      <c r="J161" t="s">
        <v>101</v>
      </c>
      <c r="L161" s="19" t="s">
        <v>114</v>
      </c>
      <c r="M161" s="33" t="s">
        <v>196</v>
      </c>
      <c r="N161"/>
      <c r="O161" s="18" t="s">
        <v>1054</v>
      </c>
    </row>
    <row r="162" spans="1:15" ht="30" x14ac:dyDescent="0.25">
      <c r="A162" s="18" t="s">
        <v>1055</v>
      </c>
      <c r="B162" s="38">
        <v>3</v>
      </c>
      <c r="C162" s="37" t="s">
        <v>1056</v>
      </c>
      <c r="D162" s="39" t="s">
        <v>18</v>
      </c>
      <c r="E162" s="30" t="s">
        <v>140</v>
      </c>
      <c r="F162" s="18" t="s">
        <v>17</v>
      </c>
      <c r="G162" s="18" t="s">
        <v>294</v>
      </c>
      <c r="H162" s="18" t="s">
        <v>112</v>
      </c>
      <c r="J162" t="s">
        <v>17</v>
      </c>
      <c r="L162" s="19" t="s">
        <v>1057</v>
      </c>
      <c r="M162" s="33" t="s">
        <v>196</v>
      </c>
      <c r="N162"/>
      <c r="O162" s="18" t="s">
        <v>1058</v>
      </c>
    </row>
    <row r="163" spans="1:15" x14ac:dyDescent="0.25">
      <c r="A163" s="18" t="s">
        <v>216</v>
      </c>
      <c r="B163" s="38">
        <v>3</v>
      </c>
      <c r="C163" s="37" t="s">
        <v>1059</v>
      </c>
      <c r="D163" s="39" t="s">
        <v>24</v>
      </c>
      <c r="E163" s="30" t="s">
        <v>140</v>
      </c>
      <c r="F163" s="18" t="s">
        <v>101</v>
      </c>
      <c r="G163" s="18" t="s">
        <v>130</v>
      </c>
      <c r="H163" s="18" t="s">
        <v>116</v>
      </c>
      <c r="I163" s="18" t="s">
        <v>317</v>
      </c>
      <c r="J163" t="s">
        <v>101</v>
      </c>
      <c r="L163" s="19" t="s">
        <v>114</v>
      </c>
      <c r="M163" s="33" t="s">
        <v>196</v>
      </c>
      <c r="N163"/>
      <c r="O163" s="18" t="s">
        <v>1060</v>
      </c>
    </row>
    <row r="164" spans="1:15" x14ac:dyDescent="0.25">
      <c r="A164" s="18" t="s">
        <v>99</v>
      </c>
      <c r="B164" s="38">
        <v>4</v>
      </c>
      <c r="C164" s="37" t="s">
        <v>168</v>
      </c>
      <c r="D164" s="39" t="s">
        <v>18</v>
      </c>
      <c r="E164" s="30" t="s">
        <v>100</v>
      </c>
      <c r="F164" s="18" t="s">
        <v>101</v>
      </c>
      <c r="G164" s="18">
        <v>90</v>
      </c>
      <c r="H164" s="18" t="s">
        <v>116</v>
      </c>
      <c r="I164" s="18" t="s">
        <v>169</v>
      </c>
      <c r="J164" t="s">
        <v>17</v>
      </c>
      <c r="K164" s="18" t="s">
        <v>160</v>
      </c>
      <c r="L164" s="19" t="s">
        <v>22</v>
      </c>
      <c r="M164" s="33" t="s">
        <v>196</v>
      </c>
      <c r="N164"/>
      <c r="O164" s="18" t="s">
        <v>241</v>
      </c>
    </row>
    <row r="165" spans="1:15" x14ac:dyDescent="0.25">
      <c r="A165" s="18" t="s">
        <v>194</v>
      </c>
      <c r="B165" s="38">
        <v>4</v>
      </c>
      <c r="C165" s="37" t="s">
        <v>170</v>
      </c>
      <c r="D165" s="39" t="s">
        <v>18</v>
      </c>
      <c r="E165" s="30" t="s">
        <v>100</v>
      </c>
      <c r="F165" s="18" t="s">
        <v>17</v>
      </c>
      <c r="G165" s="18">
        <v>500</v>
      </c>
      <c r="H165" s="18" t="s">
        <v>112</v>
      </c>
      <c r="J165" t="s">
        <v>17</v>
      </c>
      <c r="L165" s="19" t="s">
        <v>121</v>
      </c>
      <c r="M165" s="33" t="s">
        <v>196</v>
      </c>
      <c r="N165"/>
      <c r="O165" s="18" t="s">
        <v>242</v>
      </c>
    </row>
    <row r="166" spans="1:15" x14ac:dyDescent="0.25">
      <c r="A166" s="18" t="s">
        <v>99</v>
      </c>
      <c r="B166" s="38">
        <v>4</v>
      </c>
      <c r="C166" s="37" t="s">
        <v>171</v>
      </c>
      <c r="D166" s="39" t="s">
        <v>18</v>
      </c>
      <c r="E166" s="30" t="s">
        <v>151</v>
      </c>
      <c r="F166" s="18" t="s">
        <v>101</v>
      </c>
      <c r="G166" s="18">
        <v>120</v>
      </c>
      <c r="H166" s="18" t="s">
        <v>116</v>
      </c>
      <c r="I166" s="18" t="s">
        <v>172</v>
      </c>
      <c r="J166" t="s">
        <v>101</v>
      </c>
      <c r="K166" s="18" t="s">
        <v>149</v>
      </c>
      <c r="L166" s="19" t="s">
        <v>114</v>
      </c>
      <c r="M166" s="33" t="s">
        <v>196</v>
      </c>
      <c r="N166"/>
      <c r="O166" s="18" t="s">
        <v>243</v>
      </c>
    </row>
    <row r="167" spans="1:15" x14ac:dyDescent="0.25">
      <c r="A167" s="18" t="s">
        <v>213</v>
      </c>
      <c r="B167" s="38">
        <v>4</v>
      </c>
      <c r="C167" s="37" t="s">
        <v>173</v>
      </c>
      <c r="D167" s="39" t="s">
        <v>18</v>
      </c>
      <c r="E167" s="30" t="s">
        <v>111</v>
      </c>
      <c r="F167" s="18" t="s">
        <v>101</v>
      </c>
      <c r="G167" s="18">
        <v>120</v>
      </c>
      <c r="H167" s="18" t="s">
        <v>131</v>
      </c>
      <c r="I167" s="18" t="s">
        <v>172</v>
      </c>
      <c r="J167" t="s">
        <v>17</v>
      </c>
      <c r="K167" s="18" t="s">
        <v>142</v>
      </c>
      <c r="L167" s="19" t="s">
        <v>114</v>
      </c>
      <c r="M167" s="33" t="s">
        <v>196</v>
      </c>
      <c r="N167"/>
      <c r="O167" s="18" t="s">
        <v>244</v>
      </c>
    </row>
    <row r="168" spans="1:15" ht="24" x14ac:dyDescent="0.25">
      <c r="A168" s="18" t="s">
        <v>245</v>
      </c>
      <c r="B168" s="38">
        <v>4</v>
      </c>
      <c r="C168" s="37" t="s">
        <v>174</v>
      </c>
      <c r="D168" s="39" t="s">
        <v>18</v>
      </c>
      <c r="E168" s="30" t="s">
        <v>100</v>
      </c>
      <c r="F168" s="18" t="s">
        <v>101</v>
      </c>
      <c r="G168" s="18">
        <v>60</v>
      </c>
      <c r="H168" s="18" t="s">
        <v>123</v>
      </c>
      <c r="J168" t="s">
        <v>101</v>
      </c>
      <c r="K168" s="18" t="s">
        <v>146</v>
      </c>
      <c r="L168" s="19" t="s">
        <v>22</v>
      </c>
      <c r="M168" s="33" t="s">
        <v>196</v>
      </c>
      <c r="N168"/>
      <c r="O168" s="18" t="s">
        <v>246</v>
      </c>
    </row>
    <row r="169" spans="1:15" x14ac:dyDescent="0.25">
      <c r="A169" s="18" t="s">
        <v>247</v>
      </c>
      <c r="B169" s="38">
        <v>4</v>
      </c>
      <c r="C169" s="37" t="s">
        <v>175</v>
      </c>
      <c r="D169" s="39" t="s">
        <v>18</v>
      </c>
      <c r="E169" s="30" t="s">
        <v>111</v>
      </c>
      <c r="F169" s="18" t="s">
        <v>101</v>
      </c>
      <c r="G169" s="18">
        <v>120</v>
      </c>
      <c r="H169" s="18" t="s">
        <v>116</v>
      </c>
      <c r="I169" s="18" t="s">
        <v>159</v>
      </c>
      <c r="J169" t="s">
        <v>101</v>
      </c>
      <c r="K169" s="18" t="s">
        <v>160</v>
      </c>
      <c r="L169" s="19" t="s">
        <v>22</v>
      </c>
      <c r="M169" s="33" t="s">
        <v>196</v>
      </c>
      <c r="N169"/>
      <c r="O169" s="18" t="s">
        <v>248</v>
      </c>
    </row>
    <row r="170" spans="1:15" x14ac:dyDescent="0.25">
      <c r="A170" s="18" t="s">
        <v>99</v>
      </c>
      <c r="B170" s="38">
        <v>4</v>
      </c>
      <c r="C170" s="37" t="s">
        <v>176</v>
      </c>
      <c r="D170" s="39" t="s">
        <v>131</v>
      </c>
      <c r="E170" s="30" t="s">
        <v>133</v>
      </c>
      <c r="F170" s="18" t="s">
        <v>17</v>
      </c>
      <c r="G170" s="18">
        <v>120</v>
      </c>
      <c r="H170" s="18" t="s">
        <v>177</v>
      </c>
      <c r="J170" t="s">
        <v>101</v>
      </c>
      <c r="L170" s="19" t="s">
        <v>22</v>
      </c>
      <c r="M170" s="33" t="s">
        <v>196</v>
      </c>
      <c r="N170"/>
      <c r="O170" s="18" t="s">
        <v>249</v>
      </c>
    </row>
    <row r="171" spans="1:15" x14ac:dyDescent="0.25">
      <c r="A171" s="18" t="s">
        <v>250</v>
      </c>
      <c r="B171" s="38">
        <v>4</v>
      </c>
      <c r="C171" s="37" t="s">
        <v>178</v>
      </c>
      <c r="D171" s="39" t="s">
        <v>18</v>
      </c>
      <c r="E171" s="30" t="s">
        <v>148</v>
      </c>
      <c r="F171" s="18" t="s">
        <v>101</v>
      </c>
      <c r="G171" s="18">
        <v>90</v>
      </c>
      <c r="H171" s="18" t="s">
        <v>116</v>
      </c>
      <c r="J171" t="s">
        <v>101</v>
      </c>
      <c r="K171" s="18" t="s">
        <v>149</v>
      </c>
      <c r="L171" s="19" t="s">
        <v>22</v>
      </c>
      <c r="M171" s="33" t="s">
        <v>196</v>
      </c>
      <c r="N171"/>
      <c r="O171" s="18" t="s">
        <v>251</v>
      </c>
    </row>
    <row r="172" spans="1:15" x14ac:dyDescent="0.25">
      <c r="A172" s="18" t="s">
        <v>247</v>
      </c>
      <c r="B172" s="38">
        <v>4</v>
      </c>
      <c r="C172" s="37" t="s">
        <v>266</v>
      </c>
      <c r="D172" s="39" t="s">
        <v>18</v>
      </c>
      <c r="E172" s="30" t="s">
        <v>111</v>
      </c>
      <c r="F172" s="18" t="s">
        <v>17</v>
      </c>
      <c r="G172" s="18">
        <v>300</v>
      </c>
      <c r="H172" s="18" t="s">
        <v>112</v>
      </c>
      <c r="I172" s="18" t="s">
        <v>267</v>
      </c>
      <c r="J172" t="s">
        <v>101</v>
      </c>
      <c r="K172" s="18" t="s">
        <v>160</v>
      </c>
      <c r="L172" s="19" t="s">
        <v>22</v>
      </c>
      <c r="M172" s="33" t="s">
        <v>196</v>
      </c>
      <c r="N172"/>
      <c r="O172" s="18" t="s">
        <v>268</v>
      </c>
    </row>
    <row r="173" spans="1:15" x14ac:dyDescent="0.25">
      <c r="A173" s="18" t="s">
        <v>99</v>
      </c>
      <c r="B173" s="38">
        <v>4</v>
      </c>
      <c r="C173" s="37" t="s">
        <v>540</v>
      </c>
      <c r="D173" s="39" t="s">
        <v>18</v>
      </c>
      <c r="E173" s="30" t="s">
        <v>129</v>
      </c>
      <c r="F173" s="18" t="s">
        <v>101</v>
      </c>
      <c r="G173" s="18" t="s">
        <v>516</v>
      </c>
      <c r="H173" s="18" t="s">
        <v>123</v>
      </c>
      <c r="J173" t="s">
        <v>17</v>
      </c>
      <c r="L173" s="19" t="s">
        <v>22</v>
      </c>
      <c r="M173" s="33" t="s">
        <v>196</v>
      </c>
      <c r="N173"/>
      <c r="O173" s="18" t="s">
        <v>541</v>
      </c>
    </row>
    <row r="174" spans="1:15" x14ac:dyDescent="0.25">
      <c r="A174" s="18" t="s">
        <v>542</v>
      </c>
      <c r="B174" s="38">
        <v>4</v>
      </c>
      <c r="C174" s="37" t="s">
        <v>543</v>
      </c>
      <c r="D174" s="39" t="s">
        <v>18</v>
      </c>
      <c r="E174" s="30" t="s">
        <v>133</v>
      </c>
      <c r="F174" s="18" t="s">
        <v>101</v>
      </c>
      <c r="G174" s="18" t="s">
        <v>544</v>
      </c>
      <c r="H174" s="18" t="s">
        <v>116</v>
      </c>
      <c r="J174" t="s">
        <v>101</v>
      </c>
      <c r="K174" s="18" t="s">
        <v>146</v>
      </c>
      <c r="L174" s="19" t="s">
        <v>22</v>
      </c>
      <c r="M174" s="33" t="s">
        <v>196</v>
      </c>
      <c r="N174"/>
      <c r="O174" s="18" t="s">
        <v>545</v>
      </c>
    </row>
    <row r="175" spans="1:15" x14ac:dyDescent="0.25">
      <c r="A175" s="18" t="s">
        <v>546</v>
      </c>
      <c r="B175" s="38">
        <v>4</v>
      </c>
      <c r="C175" s="37" t="s">
        <v>547</v>
      </c>
      <c r="D175" s="39" t="s">
        <v>18</v>
      </c>
      <c r="E175" s="30" t="s">
        <v>140</v>
      </c>
      <c r="F175" s="18" t="s">
        <v>17</v>
      </c>
      <c r="G175" s="18" t="s">
        <v>516</v>
      </c>
      <c r="H175" s="18" t="s">
        <v>112</v>
      </c>
      <c r="I175" s="18" t="s">
        <v>261</v>
      </c>
      <c r="J175" t="s">
        <v>101</v>
      </c>
      <c r="K175" s="18" t="s">
        <v>142</v>
      </c>
      <c r="L175" s="19" t="s">
        <v>114</v>
      </c>
      <c r="M175" s="33" t="s">
        <v>196</v>
      </c>
      <c r="N175"/>
      <c r="O175" s="18" t="s">
        <v>548</v>
      </c>
    </row>
    <row r="176" spans="1:15" ht="24" x14ac:dyDescent="0.25">
      <c r="A176" s="18" t="s">
        <v>287</v>
      </c>
      <c r="B176" s="38">
        <v>4</v>
      </c>
      <c r="C176" s="37" t="s">
        <v>549</v>
      </c>
      <c r="D176" s="39" t="s">
        <v>116</v>
      </c>
      <c r="E176" s="30" t="s">
        <v>100</v>
      </c>
      <c r="F176" s="18" t="s">
        <v>101</v>
      </c>
      <c r="G176" s="18" t="s">
        <v>532</v>
      </c>
      <c r="H176" s="18" t="s">
        <v>123</v>
      </c>
      <c r="J176" t="s">
        <v>101</v>
      </c>
      <c r="L176" s="19" t="s">
        <v>114</v>
      </c>
      <c r="M176" s="33" t="s">
        <v>196</v>
      </c>
      <c r="N176"/>
      <c r="O176" s="18" t="s">
        <v>550</v>
      </c>
    </row>
    <row r="177" spans="1:15" x14ac:dyDescent="0.25">
      <c r="A177" s="18" t="s">
        <v>551</v>
      </c>
      <c r="B177" s="38">
        <v>4</v>
      </c>
      <c r="C177" s="37" t="s">
        <v>552</v>
      </c>
      <c r="D177" s="39" t="s">
        <v>18</v>
      </c>
      <c r="E177" s="30" t="s">
        <v>118</v>
      </c>
      <c r="F177" s="18" t="s">
        <v>101</v>
      </c>
      <c r="G177" s="18" t="s">
        <v>553</v>
      </c>
      <c r="H177" s="18" t="s">
        <v>131</v>
      </c>
      <c r="I177" s="18" t="s">
        <v>141</v>
      </c>
      <c r="J177" t="s">
        <v>17</v>
      </c>
      <c r="K177" s="18" t="s">
        <v>385</v>
      </c>
      <c r="L177" s="19" t="s">
        <v>22</v>
      </c>
      <c r="M177" s="33" t="s">
        <v>196</v>
      </c>
      <c r="N177"/>
      <c r="O177" s="18" t="s">
        <v>554</v>
      </c>
    </row>
    <row r="178" spans="1:15" x14ac:dyDescent="0.25">
      <c r="A178" s="18" t="s">
        <v>99</v>
      </c>
      <c r="B178" s="38">
        <v>4</v>
      </c>
      <c r="C178" s="37" t="s">
        <v>555</v>
      </c>
      <c r="D178" s="39" t="s">
        <v>131</v>
      </c>
      <c r="E178" s="30" t="s">
        <v>118</v>
      </c>
      <c r="F178" s="18" t="s">
        <v>17</v>
      </c>
      <c r="G178" s="18" t="s">
        <v>507</v>
      </c>
      <c r="H178" s="18" t="s">
        <v>112</v>
      </c>
      <c r="J178" t="s">
        <v>17</v>
      </c>
      <c r="L178" s="19" t="s">
        <v>114</v>
      </c>
      <c r="M178" s="33" t="s">
        <v>196</v>
      </c>
      <c r="N178"/>
      <c r="O178" s="18" t="s">
        <v>556</v>
      </c>
    </row>
    <row r="179" spans="1:15" x14ac:dyDescent="0.25">
      <c r="A179" s="18" t="s">
        <v>99</v>
      </c>
      <c r="B179" s="38">
        <v>4</v>
      </c>
      <c r="C179" s="37" t="s">
        <v>557</v>
      </c>
      <c r="D179" s="39" t="s">
        <v>18</v>
      </c>
      <c r="E179" s="30" t="s">
        <v>100</v>
      </c>
      <c r="F179" s="18" t="s">
        <v>17</v>
      </c>
      <c r="G179" s="18" t="s">
        <v>516</v>
      </c>
      <c r="H179" s="18" t="s">
        <v>134</v>
      </c>
      <c r="I179" s="18" t="s">
        <v>558</v>
      </c>
      <c r="J179" t="s">
        <v>17</v>
      </c>
      <c r="L179" s="19" t="s">
        <v>22</v>
      </c>
      <c r="M179" s="33" t="s">
        <v>196</v>
      </c>
      <c r="N179"/>
      <c r="O179" s="18" t="s">
        <v>559</v>
      </c>
    </row>
    <row r="180" spans="1:15" x14ac:dyDescent="0.25">
      <c r="A180" s="18" t="s">
        <v>99</v>
      </c>
      <c r="B180" s="38">
        <v>4</v>
      </c>
      <c r="C180" s="37" t="s">
        <v>560</v>
      </c>
      <c r="D180" s="39" t="s">
        <v>18</v>
      </c>
      <c r="E180" s="30" t="s">
        <v>111</v>
      </c>
      <c r="F180" s="18" t="s">
        <v>17</v>
      </c>
      <c r="G180" s="18" t="s">
        <v>130</v>
      </c>
      <c r="H180" s="18" t="s">
        <v>131</v>
      </c>
      <c r="I180" s="18" t="s">
        <v>141</v>
      </c>
      <c r="J180" t="s">
        <v>17</v>
      </c>
      <c r="L180" s="19" t="s">
        <v>22</v>
      </c>
      <c r="M180" s="33" t="s">
        <v>196</v>
      </c>
      <c r="N180"/>
      <c r="O180" s="18" t="s">
        <v>561</v>
      </c>
    </row>
    <row r="181" spans="1:15" x14ac:dyDescent="0.25">
      <c r="A181" s="18" t="s">
        <v>201</v>
      </c>
      <c r="B181" s="38">
        <v>4</v>
      </c>
      <c r="C181" s="37" t="s">
        <v>562</v>
      </c>
      <c r="D181" s="39" t="s">
        <v>18</v>
      </c>
      <c r="E181" s="30" t="s">
        <v>151</v>
      </c>
      <c r="F181" s="18" t="s">
        <v>101</v>
      </c>
      <c r="G181" s="18" t="s">
        <v>294</v>
      </c>
      <c r="H181" s="18" t="s">
        <v>116</v>
      </c>
      <c r="J181" t="s">
        <v>17</v>
      </c>
      <c r="L181" s="19" t="s">
        <v>114</v>
      </c>
      <c r="M181" s="33" t="s">
        <v>196</v>
      </c>
      <c r="N181"/>
      <c r="O181" s="18" t="s">
        <v>563</v>
      </c>
    </row>
    <row r="182" spans="1:15" x14ac:dyDescent="0.25">
      <c r="A182" s="18" t="s">
        <v>564</v>
      </c>
      <c r="B182" s="38">
        <v>4</v>
      </c>
      <c r="C182" s="37" t="s">
        <v>565</v>
      </c>
      <c r="D182" s="39" t="s">
        <v>131</v>
      </c>
      <c r="E182" s="30" t="s">
        <v>151</v>
      </c>
      <c r="F182" s="18" t="s">
        <v>17</v>
      </c>
      <c r="G182" s="18" t="s">
        <v>553</v>
      </c>
      <c r="H182" s="18" t="s">
        <v>177</v>
      </c>
      <c r="J182" t="s">
        <v>17</v>
      </c>
      <c r="L182" s="19" t="s">
        <v>22</v>
      </c>
      <c r="M182" s="33" t="s">
        <v>196</v>
      </c>
      <c r="N182"/>
      <c r="O182" s="18" t="s">
        <v>566</v>
      </c>
    </row>
    <row r="183" spans="1:15" x14ac:dyDescent="0.25">
      <c r="A183" s="18" t="s">
        <v>567</v>
      </c>
      <c r="B183" s="38">
        <v>4</v>
      </c>
      <c r="C183" s="37" t="s">
        <v>568</v>
      </c>
      <c r="D183" s="39" t="s">
        <v>18</v>
      </c>
      <c r="E183" s="30" t="s">
        <v>129</v>
      </c>
      <c r="F183" s="18" t="s">
        <v>101</v>
      </c>
      <c r="G183" s="18" t="s">
        <v>130</v>
      </c>
      <c r="H183" s="18" t="s">
        <v>123</v>
      </c>
      <c r="J183" t="s">
        <v>17</v>
      </c>
      <c r="L183" s="19" t="s">
        <v>22</v>
      </c>
      <c r="M183" s="33" t="s">
        <v>196</v>
      </c>
      <c r="N183"/>
      <c r="O183" s="18" t="s">
        <v>569</v>
      </c>
    </row>
    <row r="184" spans="1:15" x14ac:dyDescent="0.25">
      <c r="A184" s="18" t="s">
        <v>250</v>
      </c>
      <c r="B184" s="38">
        <v>4</v>
      </c>
      <c r="C184" s="37" t="s">
        <v>570</v>
      </c>
      <c r="D184" s="39" t="s">
        <v>18</v>
      </c>
      <c r="E184" s="30" t="s">
        <v>118</v>
      </c>
      <c r="F184" s="18" t="s">
        <v>101</v>
      </c>
      <c r="G184" s="18" t="s">
        <v>544</v>
      </c>
      <c r="H184" s="18" t="s">
        <v>123</v>
      </c>
      <c r="J184" t="s">
        <v>17</v>
      </c>
      <c r="K184" s="18" t="s">
        <v>149</v>
      </c>
      <c r="L184" s="19" t="s">
        <v>22</v>
      </c>
      <c r="M184" s="33" t="s">
        <v>196</v>
      </c>
      <c r="N184"/>
      <c r="O184" s="18" t="s">
        <v>571</v>
      </c>
    </row>
    <row r="185" spans="1:15" x14ac:dyDescent="0.25">
      <c r="A185" s="18" t="s">
        <v>99</v>
      </c>
      <c r="B185" s="38">
        <v>4</v>
      </c>
      <c r="C185" s="37" t="s">
        <v>572</v>
      </c>
      <c r="D185" s="39" t="s">
        <v>18</v>
      </c>
      <c r="E185" s="30" t="s">
        <v>111</v>
      </c>
      <c r="F185" s="18" t="s">
        <v>101</v>
      </c>
      <c r="G185" s="18" t="s">
        <v>516</v>
      </c>
      <c r="H185" s="18" t="s">
        <v>116</v>
      </c>
      <c r="J185" t="s">
        <v>17</v>
      </c>
      <c r="K185" s="18" t="s">
        <v>160</v>
      </c>
      <c r="L185" s="19" t="s">
        <v>22</v>
      </c>
      <c r="M185" s="33" t="s">
        <v>196</v>
      </c>
      <c r="N185"/>
      <c r="O185" s="18" t="s">
        <v>573</v>
      </c>
    </row>
    <row r="186" spans="1:15" ht="30" x14ac:dyDescent="0.25">
      <c r="A186" s="18" t="s">
        <v>99</v>
      </c>
      <c r="B186" s="38">
        <v>4</v>
      </c>
      <c r="C186" s="37" t="s">
        <v>574</v>
      </c>
      <c r="D186" s="39" t="s">
        <v>18</v>
      </c>
      <c r="E186" s="30" t="s">
        <v>100</v>
      </c>
      <c r="F186" s="18" t="s">
        <v>17</v>
      </c>
      <c r="G186" s="18" t="s">
        <v>294</v>
      </c>
      <c r="H186" s="18" t="s">
        <v>112</v>
      </c>
      <c r="J186" t="s">
        <v>17</v>
      </c>
      <c r="L186" s="19" t="s">
        <v>575</v>
      </c>
      <c r="M186" s="33" t="s">
        <v>196</v>
      </c>
      <c r="N186"/>
      <c r="O186" s="18" t="s">
        <v>576</v>
      </c>
    </row>
    <row r="187" spans="1:15" x14ac:dyDescent="0.25">
      <c r="A187" s="18" t="s">
        <v>551</v>
      </c>
      <c r="B187" s="38">
        <v>4</v>
      </c>
      <c r="C187" s="37" t="s">
        <v>577</v>
      </c>
      <c r="D187" s="39" t="s">
        <v>18</v>
      </c>
      <c r="E187" s="30" t="s">
        <v>118</v>
      </c>
      <c r="F187" s="18" t="s">
        <v>17</v>
      </c>
      <c r="G187" s="18" t="s">
        <v>578</v>
      </c>
      <c r="H187" s="18" t="s">
        <v>112</v>
      </c>
      <c r="J187" t="s">
        <v>17</v>
      </c>
      <c r="L187" s="19" t="s">
        <v>22</v>
      </c>
      <c r="M187" s="33" t="s">
        <v>196</v>
      </c>
      <c r="N187"/>
      <c r="O187" s="18" t="s">
        <v>579</v>
      </c>
    </row>
    <row r="188" spans="1:15" ht="30" x14ac:dyDescent="0.25">
      <c r="A188" s="18" t="s">
        <v>580</v>
      </c>
      <c r="B188" s="38">
        <v>4</v>
      </c>
      <c r="C188" s="37" t="s">
        <v>581</v>
      </c>
      <c r="D188" s="39" t="s">
        <v>18</v>
      </c>
      <c r="E188" s="30" t="s">
        <v>133</v>
      </c>
      <c r="F188" s="18" t="s">
        <v>101</v>
      </c>
      <c r="G188" s="18" t="s">
        <v>294</v>
      </c>
      <c r="H188" s="18" t="s">
        <v>123</v>
      </c>
      <c r="J188" t="s">
        <v>17</v>
      </c>
      <c r="L188" s="19" t="s">
        <v>582</v>
      </c>
      <c r="M188" s="33" t="s">
        <v>196</v>
      </c>
      <c r="N188"/>
      <c r="O188" s="18" t="s">
        <v>583</v>
      </c>
    </row>
    <row r="189" spans="1:15" x14ac:dyDescent="0.25">
      <c r="A189" s="18" t="s">
        <v>917</v>
      </c>
      <c r="B189" s="38">
        <v>4</v>
      </c>
      <c r="C189" s="37" t="s">
        <v>958</v>
      </c>
      <c r="D189" s="39" t="s">
        <v>18</v>
      </c>
      <c r="E189" s="30" t="s">
        <v>148</v>
      </c>
      <c r="F189" s="18" t="s">
        <v>101</v>
      </c>
      <c r="G189" s="18">
        <v>30</v>
      </c>
      <c r="H189" s="18" t="s">
        <v>116</v>
      </c>
      <c r="J189" t="s">
        <v>17</v>
      </c>
      <c r="K189" s="18" t="s">
        <v>149</v>
      </c>
      <c r="L189" s="19" t="s">
        <v>114</v>
      </c>
      <c r="M189" s="33" t="s">
        <v>196</v>
      </c>
      <c r="N189"/>
      <c r="O189" s="18" t="s">
        <v>959</v>
      </c>
    </row>
    <row r="190" spans="1:15" ht="24" x14ac:dyDescent="0.25">
      <c r="A190" s="18" t="s">
        <v>960</v>
      </c>
      <c r="B190" s="38">
        <v>4</v>
      </c>
      <c r="C190" s="37" t="s">
        <v>961</v>
      </c>
      <c r="D190" s="39" t="s">
        <v>18</v>
      </c>
      <c r="E190" s="30" t="s">
        <v>133</v>
      </c>
      <c r="F190" s="18" t="s">
        <v>17</v>
      </c>
      <c r="G190" s="18" t="s">
        <v>294</v>
      </c>
      <c r="H190" s="18" t="s">
        <v>123</v>
      </c>
      <c r="J190" t="s">
        <v>17</v>
      </c>
      <c r="L190" s="19" t="s">
        <v>22</v>
      </c>
      <c r="M190" s="33" t="s">
        <v>196</v>
      </c>
      <c r="N190"/>
      <c r="O190" s="18" t="s">
        <v>962</v>
      </c>
    </row>
    <row r="191" spans="1:15" x14ac:dyDescent="0.25">
      <c r="A191" s="18" t="s">
        <v>245</v>
      </c>
      <c r="B191" s="38">
        <v>5</v>
      </c>
      <c r="C191" s="37" t="s">
        <v>179</v>
      </c>
      <c r="D191" s="39" t="s">
        <v>18</v>
      </c>
      <c r="E191" s="30" t="s">
        <v>140</v>
      </c>
      <c r="F191" s="18" t="s">
        <v>101</v>
      </c>
      <c r="G191" s="18">
        <v>60</v>
      </c>
      <c r="H191" s="18" t="s">
        <v>123</v>
      </c>
      <c r="J191" t="s">
        <v>101</v>
      </c>
      <c r="L191" s="19" t="s">
        <v>114</v>
      </c>
      <c r="M191" s="33" t="s">
        <v>196</v>
      </c>
      <c r="N191"/>
      <c r="O191" s="18" t="s">
        <v>252</v>
      </c>
    </row>
    <row r="192" spans="1:15" x14ac:dyDescent="0.25">
      <c r="A192" s="18" t="s">
        <v>194</v>
      </c>
      <c r="B192" s="38">
        <v>5</v>
      </c>
      <c r="C192" s="37" t="s">
        <v>180</v>
      </c>
      <c r="D192" s="39" t="s">
        <v>18</v>
      </c>
      <c r="E192" s="30" t="s">
        <v>148</v>
      </c>
      <c r="F192" s="18" t="s">
        <v>101</v>
      </c>
      <c r="G192" s="18">
        <v>90</v>
      </c>
      <c r="H192" s="18" t="s">
        <v>116</v>
      </c>
      <c r="J192" t="s">
        <v>101</v>
      </c>
      <c r="K192" s="18" t="s">
        <v>149</v>
      </c>
      <c r="L192" s="19" t="s">
        <v>22</v>
      </c>
      <c r="M192" s="33" t="s">
        <v>196</v>
      </c>
      <c r="N192"/>
      <c r="O192" s="18" t="s">
        <v>253</v>
      </c>
    </row>
    <row r="193" spans="1:15" ht="24" x14ac:dyDescent="0.25">
      <c r="A193" s="18" t="s">
        <v>245</v>
      </c>
      <c r="B193" s="38">
        <v>5</v>
      </c>
      <c r="C193" s="37" t="s">
        <v>181</v>
      </c>
      <c r="D193" s="39" t="s">
        <v>18</v>
      </c>
      <c r="E193" s="30" t="s">
        <v>140</v>
      </c>
      <c r="F193" s="18" t="s">
        <v>17</v>
      </c>
      <c r="G193" s="18">
        <v>60</v>
      </c>
      <c r="H193" s="18" t="s">
        <v>112</v>
      </c>
      <c r="I193" s="18" t="s">
        <v>182</v>
      </c>
      <c r="J193" t="s">
        <v>17</v>
      </c>
      <c r="K193" s="18" t="s">
        <v>142</v>
      </c>
      <c r="L193" s="19" t="s">
        <v>144</v>
      </c>
      <c r="M193" s="33" t="s">
        <v>196</v>
      </c>
      <c r="N193"/>
      <c r="O193" s="18" t="s">
        <v>254</v>
      </c>
    </row>
    <row r="194" spans="1:15" x14ac:dyDescent="0.25">
      <c r="A194" s="18" t="s">
        <v>193</v>
      </c>
      <c r="B194" s="38">
        <v>5</v>
      </c>
      <c r="C194" s="37" t="s">
        <v>259</v>
      </c>
      <c r="D194" s="39" t="s">
        <v>18</v>
      </c>
      <c r="E194" s="30" t="s">
        <v>111</v>
      </c>
      <c r="F194" s="18" t="s">
        <v>17</v>
      </c>
      <c r="G194" s="18" t="s">
        <v>260</v>
      </c>
      <c r="H194" s="18" t="s">
        <v>112</v>
      </c>
      <c r="I194" s="18" t="s">
        <v>261</v>
      </c>
      <c r="J194" t="s">
        <v>101</v>
      </c>
      <c r="K194" s="18" t="s">
        <v>142</v>
      </c>
      <c r="L194" s="19" t="s">
        <v>22</v>
      </c>
      <c r="M194" s="33" t="s">
        <v>196</v>
      </c>
      <c r="N194"/>
      <c r="O194" s="18" t="s">
        <v>262</v>
      </c>
    </row>
    <row r="195" spans="1:15" x14ac:dyDescent="0.25">
      <c r="A195" s="18" t="s">
        <v>201</v>
      </c>
      <c r="B195" s="38">
        <v>5</v>
      </c>
      <c r="C195" s="37" t="s">
        <v>584</v>
      </c>
      <c r="D195" s="39" t="s">
        <v>18</v>
      </c>
      <c r="E195" s="30" t="s">
        <v>118</v>
      </c>
      <c r="F195" s="18" t="s">
        <v>101</v>
      </c>
      <c r="G195" s="18" t="s">
        <v>507</v>
      </c>
      <c r="H195" s="18" t="s">
        <v>116</v>
      </c>
      <c r="I195" s="18" t="s">
        <v>585</v>
      </c>
      <c r="J195" t="s">
        <v>101</v>
      </c>
      <c r="L195" s="19" t="s">
        <v>114</v>
      </c>
      <c r="M195" s="33" t="s">
        <v>196</v>
      </c>
      <c r="N195"/>
      <c r="O195" s="18" t="s">
        <v>586</v>
      </c>
    </row>
    <row r="196" spans="1:15" x14ac:dyDescent="0.25">
      <c r="A196" s="18" t="s">
        <v>99</v>
      </c>
      <c r="B196" s="38">
        <v>5</v>
      </c>
      <c r="C196" s="37" t="s">
        <v>587</v>
      </c>
      <c r="D196" s="39" t="s">
        <v>18</v>
      </c>
      <c r="E196" s="30" t="s">
        <v>111</v>
      </c>
      <c r="F196" s="18" t="s">
        <v>101</v>
      </c>
      <c r="G196" s="18" t="s">
        <v>507</v>
      </c>
      <c r="H196" s="18" t="s">
        <v>116</v>
      </c>
      <c r="I196" s="18" t="s">
        <v>585</v>
      </c>
      <c r="J196" t="s">
        <v>101</v>
      </c>
      <c r="L196" s="19" t="s">
        <v>22</v>
      </c>
      <c r="M196" s="33" t="s">
        <v>196</v>
      </c>
      <c r="N196"/>
      <c r="O196" s="18" t="s">
        <v>588</v>
      </c>
    </row>
    <row r="197" spans="1:15" x14ac:dyDescent="0.25">
      <c r="A197" s="18" t="s">
        <v>193</v>
      </c>
      <c r="B197" s="38">
        <v>5</v>
      </c>
      <c r="C197" s="37" t="s">
        <v>589</v>
      </c>
      <c r="D197" s="39" t="s">
        <v>18</v>
      </c>
      <c r="E197" s="30" t="s">
        <v>100</v>
      </c>
      <c r="F197" s="18" t="s">
        <v>101</v>
      </c>
      <c r="G197" s="18" t="s">
        <v>507</v>
      </c>
      <c r="H197" s="18" t="s">
        <v>131</v>
      </c>
      <c r="I197" s="18" t="s">
        <v>159</v>
      </c>
      <c r="J197" t="s">
        <v>101</v>
      </c>
      <c r="K197" s="18" t="s">
        <v>142</v>
      </c>
      <c r="L197" s="19" t="s">
        <v>114</v>
      </c>
      <c r="M197" s="33" t="s">
        <v>196</v>
      </c>
      <c r="N197"/>
      <c r="O197" s="18" t="s">
        <v>590</v>
      </c>
    </row>
    <row r="198" spans="1:15" x14ac:dyDescent="0.25">
      <c r="A198" s="18" t="s">
        <v>287</v>
      </c>
      <c r="B198" s="38">
        <v>5</v>
      </c>
      <c r="C198" s="37" t="s">
        <v>596</v>
      </c>
      <c r="D198" s="39" t="s">
        <v>116</v>
      </c>
      <c r="E198" s="30" t="s">
        <v>100</v>
      </c>
      <c r="F198" s="18" t="s">
        <v>101</v>
      </c>
      <c r="G198" s="18" t="s">
        <v>532</v>
      </c>
      <c r="H198" s="18" t="s">
        <v>123</v>
      </c>
      <c r="J198" t="s">
        <v>101</v>
      </c>
      <c r="L198" s="19" t="s">
        <v>22</v>
      </c>
      <c r="M198" s="33" t="s">
        <v>196</v>
      </c>
      <c r="N198"/>
      <c r="O198" s="18" t="s">
        <v>597</v>
      </c>
    </row>
    <row r="199" spans="1:15" x14ac:dyDescent="0.25">
      <c r="A199" s="18" t="s">
        <v>245</v>
      </c>
      <c r="B199" s="38">
        <v>5</v>
      </c>
      <c r="C199" s="37" t="s">
        <v>598</v>
      </c>
      <c r="D199" s="39" t="s">
        <v>166</v>
      </c>
      <c r="E199" s="30" t="s">
        <v>129</v>
      </c>
      <c r="F199" s="18" t="s">
        <v>17</v>
      </c>
      <c r="G199" s="18" t="s">
        <v>130</v>
      </c>
      <c r="H199" s="18" t="s">
        <v>116</v>
      </c>
      <c r="I199" s="18" t="s">
        <v>599</v>
      </c>
      <c r="J199" t="s">
        <v>17</v>
      </c>
      <c r="K199" s="18" t="s">
        <v>600</v>
      </c>
      <c r="L199" s="19" t="s">
        <v>121</v>
      </c>
      <c r="M199" s="33" t="s">
        <v>196</v>
      </c>
      <c r="N199"/>
      <c r="O199" s="18" t="s">
        <v>601</v>
      </c>
    </row>
    <row r="200" spans="1:15" x14ac:dyDescent="0.25">
      <c r="A200" s="18" t="s">
        <v>193</v>
      </c>
      <c r="B200" s="38">
        <v>5</v>
      </c>
      <c r="C200" s="37" t="s">
        <v>602</v>
      </c>
      <c r="D200" s="39" t="s">
        <v>116</v>
      </c>
      <c r="E200" s="30" t="s">
        <v>151</v>
      </c>
      <c r="F200" s="18" t="s">
        <v>17</v>
      </c>
      <c r="G200" s="18" t="s">
        <v>516</v>
      </c>
      <c r="H200" s="18" t="s">
        <v>603</v>
      </c>
      <c r="J200" t="s">
        <v>101</v>
      </c>
      <c r="L200" s="19" t="s">
        <v>22</v>
      </c>
      <c r="M200" s="33" t="s">
        <v>196</v>
      </c>
      <c r="N200"/>
      <c r="O200" s="18" t="s">
        <v>604</v>
      </c>
    </row>
    <row r="201" spans="1:15" x14ac:dyDescent="0.25">
      <c r="A201" s="18" t="s">
        <v>201</v>
      </c>
      <c r="B201" s="38">
        <v>5</v>
      </c>
      <c r="C201" s="37" t="s">
        <v>605</v>
      </c>
      <c r="D201" s="39" t="s">
        <v>18</v>
      </c>
      <c r="E201" s="30" t="s">
        <v>111</v>
      </c>
      <c r="F201" s="18" t="s">
        <v>101</v>
      </c>
      <c r="G201" s="18" t="s">
        <v>544</v>
      </c>
      <c r="H201" s="18" t="s">
        <v>116</v>
      </c>
      <c r="J201" t="s">
        <v>101</v>
      </c>
      <c r="K201" s="18" t="s">
        <v>149</v>
      </c>
      <c r="L201" s="19" t="s">
        <v>114</v>
      </c>
      <c r="M201" s="33" t="s">
        <v>196</v>
      </c>
      <c r="N201"/>
      <c r="O201" s="18" t="s">
        <v>606</v>
      </c>
    </row>
    <row r="202" spans="1:15" x14ac:dyDescent="0.25">
      <c r="A202" s="18" t="s">
        <v>564</v>
      </c>
      <c r="B202" s="38">
        <v>5</v>
      </c>
      <c r="C202" s="37" t="s">
        <v>607</v>
      </c>
      <c r="D202" s="39" t="s">
        <v>116</v>
      </c>
      <c r="E202" s="30" t="s">
        <v>151</v>
      </c>
      <c r="F202" s="18" t="s">
        <v>17</v>
      </c>
      <c r="G202" s="18" t="s">
        <v>603</v>
      </c>
      <c r="H202" s="18" t="s">
        <v>134</v>
      </c>
      <c r="I202" s="18" t="s">
        <v>169</v>
      </c>
      <c r="J202" t="s">
        <v>17</v>
      </c>
      <c r="K202" s="18" t="s">
        <v>149</v>
      </c>
      <c r="L202" s="19" t="s">
        <v>22</v>
      </c>
      <c r="M202" s="33" t="s">
        <v>196</v>
      </c>
      <c r="N202"/>
      <c r="O202" s="18" t="s">
        <v>608</v>
      </c>
    </row>
    <row r="203" spans="1:15" x14ac:dyDescent="0.25">
      <c r="A203" s="18" t="s">
        <v>609</v>
      </c>
      <c r="B203" s="38">
        <v>5</v>
      </c>
      <c r="C203" s="37" t="s">
        <v>610</v>
      </c>
      <c r="D203" s="39" t="s">
        <v>116</v>
      </c>
      <c r="E203" s="30" t="s">
        <v>148</v>
      </c>
      <c r="F203" s="18" t="s">
        <v>17</v>
      </c>
      <c r="G203" s="18" t="s">
        <v>544</v>
      </c>
      <c r="H203" s="18" t="s">
        <v>611</v>
      </c>
      <c r="I203" s="18" t="s">
        <v>612</v>
      </c>
      <c r="J203" t="s">
        <v>101</v>
      </c>
      <c r="K203" s="18" t="s">
        <v>149</v>
      </c>
      <c r="L203" s="19" t="s">
        <v>121</v>
      </c>
      <c r="M203" s="33" t="s">
        <v>196</v>
      </c>
      <c r="N203"/>
      <c r="O203" s="18" t="s">
        <v>613</v>
      </c>
    </row>
    <row r="204" spans="1:15" ht="45" x14ac:dyDescent="0.25">
      <c r="A204" s="18" t="s">
        <v>232</v>
      </c>
      <c r="B204" s="38">
        <v>5</v>
      </c>
      <c r="C204" s="37" t="s">
        <v>614</v>
      </c>
      <c r="D204" s="39" t="s">
        <v>131</v>
      </c>
      <c r="E204" s="30" t="s">
        <v>129</v>
      </c>
      <c r="F204" s="18" t="s">
        <v>17</v>
      </c>
      <c r="G204" s="18" t="s">
        <v>130</v>
      </c>
      <c r="H204" s="18" t="s">
        <v>112</v>
      </c>
      <c r="J204" t="s">
        <v>17</v>
      </c>
      <c r="L204" s="19" t="s">
        <v>615</v>
      </c>
      <c r="M204" s="33" t="s">
        <v>196</v>
      </c>
      <c r="N204"/>
      <c r="O204" s="18" t="s">
        <v>616</v>
      </c>
    </row>
    <row r="205" spans="1:15" x14ac:dyDescent="0.25">
      <c r="A205" s="18" t="s">
        <v>238</v>
      </c>
      <c r="B205" s="38">
        <v>5</v>
      </c>
      <c r="C205" s="37" t="s">
        <v>617</v>
      </c>
      <c r="D205" s="39" t="s">
        <v>18</v>
      </c>
      <c r="E205" s="30" t="s">
        <v>151</v>
      </c>
      <c r="F205" s="18" t="s">
        <v>101</v>
      </c>
      <c r="G205" s="18" t="s">
        <v>130</v>
      </c>
      <c r="H205" s="18" t="s">
        <v>123</v>
      </c>
      <c r="J205" t="s">
        <v>17</v>
      </c>
      <c r="L205" s="19" t="s">
        <v>124</v>
      </c>
      <c r="M205" s="33" t="s">
        <v>196</v>
      </c>
      <c r="N205"/>
      <c r="O205" s="18" t="s">
        <v>618</v>
      </c>
    </row>
    <row r="206" spans="1:15" x14ac:dyDescent="0.25">
      <c r="A206" s="18" t="s">
        <v>238</v>
      </c>
      <c r="B206" s="38">
        <v>5</v>
      </c>
      <c r="C206" s="37" t="s">
        <v>619</v>
      </c>
      <c r="D206" s="39" t="s">
        <v>18</v>
      </c>
      <c r="E206" s="30" t="s">
        <v>148</v>
      </c>
      <c r="F206" s="18" t="s">
        <v>101</v>
      </c>
      <c r="G206" s="18" t="s">
        <v>516</v>
      </c>
      <c r="H206" s="18" t="s">
        <v>116</v>
      </c>
      <c r="J206" t="s">
        <v>101</v>
      </c>
      <c r="K206" s="18" t="s">
        <v>149</v>
      </c>
      <c r="L206" s="19" t="s">
        <v>114</v>
      </c>
      <c r="M206" s="33" t="s">
        <v>196</v>
      </c>
      <c r="N206"/>
      <c r="O206" s="18" t="s">
        <v>620</v>
      </c>
    </row>
    <row r="207" spans="1:15" x14ac:dyDescent="0.25">
      <c r="A207" s="18" t="s">
        <v>99</v>
      </c>
      <c r="B207" s="38">
        <v>5</v>
      </c>
      <c r="C207" s="37" t="s">
        <v>621</v>
      </c>
      <c r="D207" s="39" t="s">
        <v>18</v>
      </c>
      <c r="E207" s="30" t="s">
        <v>118</v>
      </c>
      <c r="F207" s="18" t="s">
        <v>17</v>
      </c>
      <c r="G207" s="18" t="s">
        <v>516</v>
      </c>
      <c r="H207" s="18" t="s">
        <v>123</v>
      </c>
      <c r="J207" t="s">
        <v>17</v>
      </c>
      <c r="L207" s="19" t="s">
        <v>22</v>
      </c>
      <c r="M207" s="33" t="s">
        <v>196</v>
      </c>
      <c r="N207"/>
      <c r="O207" s="18" t="s">
        <v>622</v>
      </c>
    </row>
    <row r="208" spans="1:15" ht="30" x14ac:dyDescent="0.25">
      <c r="A208" s="18" t="s">
        <v>623</v>
      </c>
      <c r="B208" s="38">
        <v>5</v>
      </c>
      <c r="C208" s="37" t="s">
        <v>624</v>
      </c>
      <c r="D208" s="39" t="s">
        <v>123</v>
      </c>
      <c r="E208" s="30" t="s">
        <v>133</v>
      </c>
      <c r="F208" s="18" t="s">
        <v>17</v>
      </c>
      <c r="G208" s="18" t="s">
        <v>544</v>
      </c>
      <c r="H208" s="18" t="s">
        <v>177</v>
      </c>
      <c r="J208" t="s">
        <v>101</v>
      </c>
      <c r="K208" s="18" t="s">
        <v>146</v>
      </c>
      <c r="L208" s="19" t="s">
        <v>625</v>
      </c>
      <c r="M208" s="33" t="s">
        <v>196</v>
      </c>
      <c r="N208"/>
      <c r="O208" s="18" t="s">
        <v>626</v>
      </c>
    </row>
    <row r="209" spans="1:15" x14ac:dyDescent="0.25">
      <c r="A209" s="18" t="s">
        <v>627</v>
      </c>
      <c r="B209" s="38">
        <v>5</v>
      </c>
      <c r="C209" s="37" t="s">
        <v>628</v>
      </c>
      <c r="D209" s="39" t="s">
        <v>131</v>
      </c>
      <c r="E209" s="30" t="s">
        <v>129</v>
      </c>
      <c r="F209" s="18" t="s">
        <v>101</v>
      </c>
      <c r="G209" s="18" t="s">
        <v>130</v>
      </c>
      <c r="H209" s="18" t="s">
        <v>131</v>
      </c>
      <c r="J209" t="s">
        <v>17</v>
      </c>
      <c r="K209" s="18" t="s">
        <v>149</v>
      </c>
      <c r="L209" s="19" t="s">
        <v>629</v>
      </c>
      <c r="M209" s="33" t="s">
        <v>196</v>
      </c>
      <c r="N209"/>
      <c r="O209" s="18" t="s">
        <v>630</v>
      </c>
    </row>
    <row r="210" spans="1:15" x14ac:dyDescent="0.25">
      <c r="A210" s="18" t="s">
        <v>201</v>
      </c>
      <c r="B210" s="38">
        <v>5</v>
      </c>
      <c r="C210" s="37" t="s">
        <v>631</v>
      </c>
      <c r="D210" s="39" t="s">
        <v>18</v>
      </c>
      <c r="E210" s="30" t="s">
        <v>151</v>
      </c>
      <c r="F210" s="18" t="s">
        <v>17</v>
      </c>
      <c r="H210" s="18" t="s">
        <v>134</v>
      </c>
      <c r="J210" t="s">
        <v>17</v>
      </c>
      <c r="K210" s="18" t="s">
        <v>146</v>
      </c>
      <c r="L210" s="19" t="s">
        <v>114</v>
      </c>
      <c r="M210" s="33" t="s">
        <v>196</v>
      </c>
      <c r="N210"/>
      <c r="O210" s="18" t="s">
        <v>632</v>
      </c>
    </row>
    <row r="211" spans="1:15" x14ac:dyDescent="0.25">
      <c r="A211" s="18" t="s">
        <v>193</v>
      </c>
      <c r="B211" s="38">
        <v>5</v>
      </c>
      <c r="C211" s="37" t="s">
        <v>633</v>
      </c>
      <c r="D211" s="39" t="s">
        <v>18</v>
      </c>
      <c r="E211" s="30" t="s">
        <v>118</v>
      </c>
      <c r="F211" s="18" t="s">
        <v>101</v>
      </c>
      <c r="G211" s="18" t="s">
        <v>544</v>
      </c>
      <c r="H211" s="18" t="s">
        <v>131</v>
      </c>
      <c r="J211" t="s">
        <v>17</v>
      </c>
      <c r="L211" s="19" t="s">
        <v>114</v>
      </c>
      <c r="M211" s="33" t="s">
        <v>196</v>
      </c>
      <c r="N211"/>
      <c r="O211" s="18" t="s">
        <v>634</v>
      </c>
    </row>
    <row r="212" spans="1:15" x14ac:dyDescent="0.25">
      <c r="A212" s="18" t="s">
        <v>99</v>
      </c>
      <c r="B212" s="38">
        <v>5</v>
      </c>
      <c r="C212" s="37" t="s">
        <v>635</v>
      </c>
      <c r="D212" s="39" t="s">
        <v>128</v>
      </c>
      <c r="E212" s="30" t="s">
        <v>129</v>
      </c>
      <c r="F212" s="18" t="s">
        <v>17</v>
      </c>
      <c r="G212" s="18" t="s">
        <v>516</v>
      </c>
      <c r="H212" s="18" t="s">
        <v>123</v>
      </c>
      <c r="J212" t="s">
        <v>17</v>
      </c>
      <c r="L212" s="19" t="s">
        <v>22</v>
      </c>
      <c r="M212" s="33" t="s">
        <v>196</v>
      </c>
      <c r="N212"/>
      <c r="O212" s="18" t="s">
        <v>636</v>
      </c>
    </row>
    <row r="213" spans="1:15" ht="30" x14ac:dyDescent="0.25">
      <c r="A213" s="18" t="s">
        <v>201</v>
      </c>
      <c r="B213" s="38">
        <v>5</v>
      </c>
      <c r="C213" s="37" t="s">
        <v>637</v>
      </c>
      <c r="D213" s="39" t="s">
        <v>116</v>
      </c>
      <c r="E213" s="30" t="s">
        <v>100</v>
      </c>
      <c r="F213" s="18" t="s">
        <v>17</v>
      </c>
      <c r="G213" s="18" t="s">
        <v>491</v>
      </c>
      <c r="H213" s="18" t="s">
        <v>119</v>
      </c>
      <c r="J213" t="s">
        <v>17</v>
      </c>
      <c r="L213" s="19" t="s">
        <v>638</v>
      </c>
      <c r="M213" s="33" t="s">
        <v>196</v>
      </c>
      <c r="N213"/>
      <c r="O213" s="18" t="s">
        <v>639</v>
      </c>
    </row>
    <row r="214" spans="1:15" x14ac:dyDescent="0.25">
      <c r="A214" s="18" t="s">
        <v>99</v>
      </c>
      <c r="B214" s="38">
        <v>5</v>
      </c>
      <c r="C214" s="37" t="s">
        <v>640</v>
      </c>
      <c r="D214" s="39" t="s">
        <v>18</v>
      </c>
      <c r="E214" s="30" t="s">
        <v>111</v>
      </c>
      <c r="F214" s="18" t="s">
        <v>101</v>
      </c>
      <c r="G214" s="18" t="s">
        <v>507</v>
      </c>
      <c r="H214" s="18" t="s">
        <v>131</v>
      </c>
      <c r="J214" t="s">
        <v>17</v>
      </c>
      <c r="L214" s="19" t="s">
        <v>22</v>
      </c>
      <c r="M214" s="33" t="s">
        <v>196</v>
      </c>
      <c r="N214"/>
      <c r="O214" s="18" t="s">
        <v>641</v>
      </c>
    </row>
    <row r="215" spans="1:15" x14ac:dyDescent="0.25">
      <c r="A215" s="18" t="s">
        <v>247</v>
      </c>
      <c r="B215" s="38">
        <v>5</v>
      </c>
      <c r="C215" s="37" t="s">
        <v>642</v>
      </c>
      <c r="D215" s="39" t="s">
        <v>18</v>
      </c>
      <c r="E215" s="30" t="s">
        <v>111</v>
      </c>
      <c r="F215" s="18" t="s">
        <v>101</v>
      </c>
      <c r="G215" s="18" t="s">
        <v>507</v>
      </c>
      <c r="H215" s="18" t="s">
        <v>131</v>
      </c>
      <c r="J215" t="s">
        <v>17</v>
      </c>
      <c r="K215" s="18" t="s">
        <v>160</v>
      </c>
      <c r="L215" s="19"/>
      <c r="M215" s="33" t="s">
        <v>196</v>
      </c>
      <c r="N215"/>
      <c r="O215" s="18" t="s">
        <v>643</v>
      </c>
    </row>
    <row r="216" spans="1:15" x14ac:dyDescent="0.25">
      <c r="A216" s="18" t="s">
        <v>924</v>
      </c>
      <c r="B216" s="38">
        <v>5</v>
      </c>
      <c r="C216" s="37" t="s">
        <v>963</v>
      </c>
      <c r="D216" s="39" t="s">
        <v>134</v>
      </c>
      <c r="E216" s="30" t="s">
        <v>118</v>
      </c>
      <c r="F216" s="18" t="s">
        <v>17</v>
      </c>
      <c r="G216" s="18" t="s">
        <v>294</v>
      </c>
      <c r="H216" s="18" t="s">
        <v>112</v>
      </c>
      <c r="J216" t="s">
        <v>17</v>
      </c>
      <c r="L216" s="19" t="s">
        <v>965</v>
      </c>
      <c r="M216" s="33" t="s">
        <v>196</v>
      </c>
      <c r="N216"/>
      <c r="O216" s="18" t="s">
        <v>964</v>
      </c>
    </row>
    <row r="217" spans="1:15" ht="30" x14ac:dyDescent="0.25">
      <c r="A217" s="18" t="s">
        <v>927</v>
      </c>
      <c r="B217" s="38">
        <v>5</v>
      </c>
      <c r="C217" s="37" t="s">
        <v>966</v>
      </c>
      <c r="D217" s="39" t="s">
        <v>18</v>
      </c>
      <c r="E217" s="30" t="s">
        <v>133</v>
      </c>
      <c r="F217" s="18" t="s">
        <v>17</v>
      </c>
      <c r="G217" s="18" t="s">
        <v>294</v>
      </c>
      <c r="H217" s="18" t="s">
        <v>112</v>
      </c>
      <c r="J217" t="s">
        <v>17</v>
      </c>
      <c r="L217" s="19" t="s">
        <v>582</v>
      </c>
      <c r="M217" s="33" t="s">
        <v>196</v>
      </c>
      <c r="N217"/>
      <c r="O217" s="18" t="s">
        <v>967</v>
      </c>
    </row>
    <row r="218" spans="1:15" x14ac:dyDescent="0.25">
      <c r="A218" s="18" t="s">
        <v>927</v>
      </c>
      <c r="B218" s="38">
        <v>5</v>
      </c>
      <c r="C218" s="37" t="s">
        <v>968</v>
      </c>
      <c r="D218" s="39" t="s">
        <v>18</v>
      </c>
      <c r="E218" s="30" t="s">
        <v>111</v>
      </c>
      <c r="F218" s="18" t="s">
        <v>17</v>
      </c>
      <c r="G218" s="18">
        <v>60</v>
      </c>
      <c r="H218" s="18" t="s">
        <v>112</v>
      </c>
      <c r="I218" s="18" t="s">
        <v>969</v>
      </c>
      <c r="J218" t="s">
        <v>101</v>
      </c>
      <c r="L218" s="19" t="s">
        <v>114</v>
      </c>
      <c r="M218" s="33" t="s">
        <v>196</v>
      </c>
      <c r="N218"/>
      <c r="O218" s="18" t="s">
        <v>970</v>
      </c>
    </row>
    <row r="219" spans="1:15" ht="30" x14ac:dyDescent="0.25">
      <c r="A219" s="18" t="s">
        <v>846</v>
      </c>
      <c r="B219" s="38">
        <v>5</v>
      </c>
      <c r="C219" s="37" t="s">
        <v>971</v>
      </c>
      <c r="D219" s="39" t="s">
        <v>123</v>
      </c>
      <c r="E219" s="30" t="s">
        <v>140</v>
      </c>
      <c r="F219" s="18" t="s">
        <v>17</v>
      </c>
      <c r="G219" s="18" t="s">
        <v>294</v>
      </c>
      <c r="H219" s="18" t="s">
        <v>112</v>
      </c>
      <c r="J219" t="s">
        <v>17</v>
      </c>
      <c r="L219" s="19" t="s">
        <v>972</v>
      </c>
      <c r="M219" s="33" t="s">
        <v>196</v>
      </c>
      <c r="N219"/>
      <c r="O219" s="18" t="s">
        <v>973</v>
      </c>
    </row>
    <row r="220" spans="1:15" x14ac:dyDescent="0.25">
      <c r="A220" s="18" t="s">
        <v>193</v>
      </c>
      <c r="B220" s="38">
        <v>6</v>
      </c>
      <c r="C220" s="37" t="s">
        <v>183</v>
      </c>
      <c r="D220" s="39" t="s">
        <v>18</v>
      </c>
      <c r="E220" s="30" t="s">
        <v>111</v>
      </c>
      <c r="F220" s="18" t="s">
        <v>17</v>
      </c>
      <c r="G220" s="18">
        <v>150</v>
      </c>
      <c r="H220" s="18" t="s">
        <v>112</v>
      </c>
      <c r="I220" s="18" t="s">
        <v>184</v>
      </c>
      <c r="J220" t="s">
        <v>101</v>
      </c>
      <c r="K220" s="18" t="s">
        <v>160</v>
      </c>
      <c r="L220" s="19" t="s">
        <v>22</v>
      </c>
      <c r="M220" s="33" t="s">
        <v>196</v>
      </c>
      <c r="N220"/>
      <c r="O220" s="18" t="s">
        <v>255</v>
      </c>
    </row>
    <row r="221" spans="1:15" ht="30" x14ac:dyDescent="0.25">
      <c r="A221" s="18" t="s">
        <v>99</v>
      </c>
      <c r="B221" s="38">
        <v>6</v>
      </c>
      <c r="C221" s="37" t="s">
        <v>185</v>
      </c>
      <c r="D221" s="39" t="s">
        <v>186</v>
      </c>
      <c r="E221" s="30" t="s">
        <v>111</v>
      </c>
      <c r="F221" s="18" t="s">
        <v>17</v>
      </c>
      <c r="G221" s="18" t="s">
        <v>130</v>
      </c>
      <c r="H221" s="18" t="s">
        <v>187</v>
      </c>
      <c r="J221" t="s">
        <v>17</v>
      </c>
      <c r="L221" s="19" t="s">
        <v>409</v>
      </c>
      <c r="M221" s="33" t="s">
        <v>196</v>
      </c>
      <c r="N221"/>
      <c r="O221" s="18" t="s">
        <v>410</v>
      </c>
    </row>
    <row r="222" spans="1:15" x14ac:dyDescent="0.25">
      <c r="A222" s="18" t="s">
        <v>194</v>
      </c>
      <c r="B222" s="38">
        <v>6</v>
      </c>
      <c r="C222" s="37" t="s">
        <v>188</v>
      </c>
      <c r="D222" s="39" t="s">
        <v>18</v>
      </c>
      <c r="E222" s="30" t="s">
        <v>140</v>
      </c>
      <c r="F222" s="18" t="s">
        <v>101</v>
      </c>
      <c r="G222" s="18">
        <v>60</v>
      </c>
      <c r="H222" s="18" t="s">
        <v>116</v>
      </c>
      <c r="J222" t="s">
        <v>17</v>
      </c>
      <c r="K222" s="18" t="s">
        <v>149</v>
      </c>
      <c r="L222" s="19" t="s">
        <v>114</v>
      </c>
      <c r="M222" s="33" t="s">
        <v>196</v>
      </c>
      <c r="N222"/>
      <c r="O222" s="18" t="s">
        <v>256</v>
      </c>
    </row>
    <row r="223" spans="1:15" x14ac:dyDescent="0.25">
      <c r="A223" s="18" t="s">
        <v>99</v>
      </c>
      <c r="B223" s="38">
        <v>6</v>
      </c>
      <c r="C223" s="37" t="s">
        <v>269</v>
      </c>
      <c r="D223" s="39" t="s">
        <v>18</v>
      </c>
      <c r="E223" s="30" t="s">
        <v>111</v>
      </c>
      <c r="F223" s="18" t="s">
        <v>101</v>
      </c>
      <c r="G223" s="18">
        <v>120</v>
      </c>
      <c r="H223" s="18" t="s">
        <v>131</v>
      </c>
      <c r="I223" s="18" t="s">
        <v>270</v>
      </c>
      <c r="J223" t="s">
        <v>101</v>
      </c>
      <c r="K223" s="18" t="s">
        <v>142</v>
      </c>
      <c r="L223" s="19" t="s">
        <v>22</v>
      </c>
      <c r="M223" s="33" t="s">
        <v>196</v>
      </c>
      <c r="N223"/>
      <c r="O223" s="18" t="s">
        <v>271</v>
      </c>
    </row>
    <row r="224" spans="1:15" x14ac:dyDescent="0.25">
      <c r="A224" s="18" t="s">
        <v>213</v>
      </c>
      <c r="B224" s="38">
        <v>6</v>
      </c>
      <c r="C224" s="37" t="s">
        <v>644</v>
      </c>
      <c r="D224" s="39" t="s">
        <v>18</v>
      </c>
      <c r="E224" s="30" t="s">
        <v>140</v>
      </c>
      <c r="F224" s="18" t="s">
        <v>17</v>
      </c>
      <c r="G224" s="18" t="s">
        <v>527</v>
      </c>
      <c r="H224" s="18" t="s">
        <v>112</v>
      </c>
      <c r="I224" s="18" t="s">
        <v>163</v>
      </c>
      <c r="J224" t="s">
        <v>101</v>
      </c>
      <c r="K224" s="18" t="s">
        <v>142</v>
      </c>
      <c r="L224" s="19" t="s">
        <v>22</v>
      </c>
      <c r="M224" s="33" t="s">
        <v>196</v>
      </c>
      <c r="N224"/>
      <c r="O224" s="18" t="s">
        <v>645</v>
      </c>
    </row>
    <row r="225" spans="1:15" ht="30" x14ac:dyDescent="0.25">
      <c r="A225" s="18" t="s">
        <v>646</v>
      </c>
      <c r="B225" s="38">
        <v>6</v>
      </c>
      <c r="C225" s="37" t="s">
        <v>647</v>
      </c>
      <c r="D225" s="39" t="s">
        <v>116</v>
      </c>
      <c r="E225" s="30" t="s">
        <v>140</v>
      </c>
      <c r="F225" s="18" t="s">
        <v>17</v>
      </c>
      <c r="G225" s="18" t="s">
        <v>491</v>
      </c>
      <c r="H225" s="18" t="s">
        <v>112</v>
      </c>
      <c r="J225" t="s">
        <v>101</v>
      </c>
      <c r="L225" s="19" t="s">
        <v>648</v>
      </c>
      <c r="M225" s="33" t="s">
        <v>196</v>
      </c>
      <c r="N225"/>
      <c r="O225" s="18" t="s">
        <v>649</v>
      </c>
    </row>
    <row r="226" spans="1:15" x14ac:dyDescent="0.25">
      <c r="A226" s="18" t="s">
        <v>193</v>
      </c>
      <c r="B226" s="38">
        <v>6</v>
      </c>
      <c r="C226" s="37" t="s">
        <v>650</v>
      </c>
      <c r="D226" s="39" t="s">
        <v>18</v>
      </c>
      <c r="E226" s="30" t="s">
        <v>118</v>
      </c>
      <c r="F226" s="18" t="s">
        <v>17</v>
      </c>
      <c r="G226" s="18" t="s">
        <v>544</v>
      </c>
      <c r="H226" s="18" t="s">
        <v>112</v>
      </c>
      <c r="I226" s="18" t="s">
        <v>651</v>
      </c>
      <c r="J226" t="s">
        <v>101</v>
      </c>
      <c r="K226" s="18" t="s">
        <v>160</v>
      </c>
      <c r="L226" s="19" t="s">
        <v>22</v>
      </c>
      <c r="M226" s="33" t="s">
        <v>196</v>
      </c>
      <c r="N226"/>
      <c r="O226" s="18" t="s">
        <v>652</v>
      </c>
    </row>
    <row r="227" spans="1:15" x14ac:dyDescent="0.25">
      <c r="A227" s="18" t="s">
        <v>245</v>
      </c>
      <c r="B227" s="38">
        <v>6</v>
      </c>
      <c r="C227" s="37" t="s">
        <v>653</v>
      </c>
      <c r="D227" s="39" t="s">
        <v>18</v>
      </c>
      <c r="E227" s="30" t="s">
        <v>118</v>
      </c>
      <c r="F227" s="18" t="s">
        <v>101</v>
      </c>
      <c r="G227" s="18" t="s">
        <v>544</v>
      </c>
      <c r="H227" s="18" t="s">
        <v>116</v>
      </c>
      <c r="J227" t="s">
        <v>17</v>
      </c>
      <c r="K227" s="18" t="s">
        <v>142</v>
      </c>
      <c r="L227" s="19"/>
      <c r="M227" s="33" t="s">
        <v>196</v>
      </c>
      <c r="N227"/>
      <c r="O227" s="18" t="s">
        <v>654</v>
      </c>
    </row>
    <row r="228" spans="1:15" x14ac:dyDescent="0.25">
      <c r="A228" s="18" t="s">
        <v>99</v>
      </c>
      <c r="B228" s="38">
        <v>6</v>
      </c>
      <c r="C228" s="37" t="s">
        <v>655</v>
      </c>
      <c r="D228" s="39" t="s">
        <v>18</v>
      </c>
      <c r="E228" s="30" t="s">
        <v>111</v>
      </c>
      <c r="F228" s="18" t="s">
        <v>17</v>
      </c>
      <c r="G228" s="18" t="s">
        <v>553</v>
      </c>
      <c r="H228" s="18" t="s">
        <v>112</v>
      </c>
      <c r="I228" s="18" t="s">
        <v>270</v>
      </c>
      <c r="J228" t="s">
        <v>101</v>
      </c>
      <c r="K228" s="18" t="s">
        <v>142</v>
      </c>
      <c r="L228" s="19" t="s">
        <v>22</v>
      </c>
      <c r="M228" s="33" t="s">
        <v>196</v>
      </c>
      <c r="N228"/>
      <c r="O228" s="18" t="s">
        <v>656</v>
      </c>
    </row>
    <row r="229" spans="1:15" ht="24" x14ac:dyDescent="0.25">
      <c r="A229" s="18" t="s">
        <v>193</v>
      </c>
      <c r="B229" s="38">
        <v>6</v>
      </c>
      <c r="C229" s="37" t="s">
        <v>657</v>
      </c>
      <c r="D229" s="39" t="s">
        <v>18</v>
      </c>
      <c r="E229" s="30" t="s">
        <v>133</v>
      </c>
      <c r="F229" s="18" t="s">
        <v>101</v>
      </c>
      <c r="G229" s="18" t="s">
        <v>130</v>
      </c>
      <c r="H229" s="18" t="s">
        <v>116</v>
      </c>
      <c r="J229" t="s">
        <v>101</v>
      </c>
      <c r="L229" s="19" t="s">
        <v>22</v>
      </c>
      <c r="M229" s="33" t="s">
        <v>196</v>
      </c>
      <c r="N229"/>
      <c r="O229" s="18" t="s">
        <v>658</v>
      </c>
    </row>
    <row r="230" spans="1:15" x14ac:dyDescent="0.25">
      <c r="A230" s="18" t="s">
        <v>238</v>
      </c>
      <c r="B230" s="38">
        <v>6</v>
      </c>
      <c r="C230" s="37" t="s">
        <v>659</v>
      </c>
      <c r="D230" s="39" t="s">
        <v>131</v>
      </c>
      <c r="E230" s="30" t="s">
        <v>133</v>
      </c>
      <c r="F230" s="18" t="s">
        <v>17</v>
      </c>
      <c r="G230" s="18" t="s">
        <v>294</v>
      </c>
      <c r="H230" s="18" t="s">
        <v>177</v>
      </c>
      <c r="J230" t="s">
        <v>17</v>
      </c>
      <c r="L230" s="19" t="s">
        <v>660</v>
      </c>
      <c r="M230" s="33" t="s">
        <v>196</v>
      </c>
      <c r="N230"/>
      <c r="O230" s="18" t="s">
        <v>661</v>
      </c>
    </row>
    <row r="231" spans="1:15" x14ac:dyDescent="0.25">
      <c r="A231" s="18" t="s">
        <v>99</v>
      </c>
      <c r="B231" s="38">
        <v>6</v>
      </c>
      <c r="C231" s="37" t="s">
        <v>662</v>
      </c>
      <c r="D231" s="39" t="s">
        <v>166</v>
      </c>
      <c r="E231" s="30" t="s">
        <v>100</v>
      </c>
      <c r="F231" s="18" t="s">
        <v>17</v>
      </c>
      <c r="G231" s="18" t="s">
        <v>294</v>
      </c>
      <c r="H231" s="18" t="s">
        <v>363</v>
      </c>
      <c r="J231" t="s">
        <v>17</v>
      </c>
      <c r="L231" s="19" t="s">
        <v>663</v>
      </c>
      <c r="M231" s="33" t="s">
        <v>196</v>
      </c>
      <c r="N231"/>
      <c r="O231" s="18" t="s">
        <v>664</v>
      </c>
    </row>
    <row r="232" spans="1:15" x14ac:dyDescent="0.25">
      <c r="A232" s="18" t="s">
        <v>238</v>
      </c>
      <c r="B232" s="38">
        <v>6</v>
      </c>
      <c r="C232" s="37" t="s">
        <v>665</v>
      </c>
      <c r="D232" s="39" t="s">
        <v>18</v>
      </c>
      <c r="E232" s="30" t="s">
        <v>148</v>
      </c>
      <c r="F232" s="18" t="s">
        <v>101</v>
      </c>
      <c r="G232" s="18" t="s">
        <v>516</v>
      </c>
      <c r="H232" s="18" t="s">
        <v>116</v>
      </c>
      <c r="J232" t="s">
        <v>17</v>
      </c>
      <c r="K232" s="18" t="s">
        <v>149</v>
      </c>
      <c r="L232" s="19" t="s">
        <v>121</v>
      </c>
      <c r="M232" s="33" t="s">
        <v>196</v>
      </c>
      <c r="N232"/>
      <c r="O232" s="18" t="s">
        <v>666</v>
      </c>
    </row>
    <row r="233" spans="1:15" x14ac:dyDescent="0.25">
      <c r="A233" s="18" t="s">
        <v>99</v>
      </c>
      <c r="B233" s="38">
        <v>6</v>
      </c>
      <c r="C233" s="37" t="s">
        <v>667</v>
      </c>
      <c r="D233" s="39" t="s">
        <v>116</v>
      </c>
      <c r="E233" s="30" t="s">
        <v>140</v>
      </c>
      <c r="F233" s="18" t="s">
        <v>17</v>
      </c>
      <c r="G233" s="18" t="s">
        <v>130</v>
      </c>
      <c r="H233" s="18" t="s">
        <v>363</v>
      </c>
      <c r="J233" t="s">
        <v>17</v>
      </c>
      <c r="K233" s="18" t="s">
        <v>146</v>
      </c>
      <c r="L233" s="19" t="s">
        <v>668</v>
      </c>
      <c r="M233" s="33" t="s">
        <v>196</v>
      </c>
      <c r="N233"/>
      <c r="O233" s="18" t="s">
        <v>669</v>
      </c>
    </row>
    <row r="234" spans="1:15" x14ac:dyDescent="0.25">
      <c r="A234" s="18" t="s">
        <v>194</v>
      </c>
      <c r="B234" s="38">
        <v>6</v>
      </c>
      <c r="C234" s="37" t="s">
        <v>670</v>
      </c>
      <c r="D234" s="39" t="s">
        <v>18</v>
      </c>
      <c r="E234" s="30" t="s">
        <v>148</v>
      </c>
      <c r="F234" s="18" t="s">
        <v>17</v>
      </c>
      <c r="G234" s="18" t="s">
        <v>544</v>
      </c>
      <c r="H234" s="18" t="s">
        <v>177</v>
      </c>
      <c r="J234" t="s">
        <v>101</v>
      </c>
      <c r="K234" s="18" t="s">
        <v>149</v>
      </c>
      <c r="L234" s="19" t="s">
        <v>144</v>
      </c>
      <c r="M234" s="33" t="s">
        <v>196</v>
      </c>
      <c r="N234"/>
      <c r="O234" s="18" t="s">
        <v>671</v>
      </c>
    </row>
    <row r="235" spans="1:15" x14ac:dyDescent="0.25">
      <c r="A235" s="18" t="s">
        <v>247</v>
      </c>
      <c r="B235" s="38">
        <v>6</v>
      </c>
      <c r="C235" s="37" t="s">
        <v>672</v>
      </c>
      <c r="D235" s="39" t="s">
        <v>18</v>
      </c>
      <c r="E235" s="30" t="s">
        <v>118</v>
      </c>
      <c r="F235" s="18" t="s">
        <v>101</v>
      </c>
      <c r="G235" s="18" t="s">
        <v>507</v>
      </c>
      <c r="H235" s="18" t="s">
        <v>673</v>
      </c>
      <c r="J235" t="s">
        <v>17</v>
      </c>
      <c r="L235" s="19" t="s">
        <v>22</v>
      </c>
      <c r="M235" s="33" t="s">
        <v>196</v>
      </c>
      <c r="N235"/>
      <c r="O235" s="18" t="s">
        <v>674</v>
      </c>
    </row>
    <row r="236" spans="1:15" x14ac:dyDescent="0.25">
      <c r="A236" s="18" t="s">
        <v>238</v>
      </c>
      <c r="B236" s="38">
        <v>6</v>
      </c>
      <c r="C236" s="37" t="s">
        <v>675</v>
      </c>
      <c r="D236" s="39" t="s">
        <v>18</v>
      </c>
      <c r="E236" s="30" t="s">
        <v>151</v>
      </c>
      <c r="F236" s="18" t="s">
        <v>17</v>
      </c>
      <c r="G236" s="18" t="s">
        <v>507</v>
      </c>
      <c r="H236" s="18" t="s">
        <v>363</v>
      </c>
      <c r="J236" t="s">
        <v>17</v>
      </c>
      <c r="L236" s="19" t="s">
        <v>676</v>
      </c>
      <c r="M236" s="33" t="s">
        <v>196</v>
      </c>
      <c r="N236"/>
      <c r="O236" s="18" t="s">
        <v>677</v>
      </c>
    </row>
    <row r="237" spans="1:15" x14ac:dyDescent="0.25">
      <c r="A237" s="18" t="s">
        <v>247</v>
      </c>
      <c r="B237" s="38">
        <v>6</v>
      </c>
      <c r="C237" s="37" t="s">
        <v>678</v>
      </c>
      <c r="D237" s="39" t="s">
        <v>679</v>
      </c>
      <c r="E237" s="30" t="s">
        <v>111</v>
      </c>
      <c r="F237" s="18" t="s">
        <v>101</v>
      </c>
      <c r="G237" s="18" t="s">
        <v>680</v>
      </c>
      <c r="H237" s="18" t="s">
        <v>116</v>
      </c>
      <c r="I237" s="18" t="s">
        <v>681</v>
      </c>
      <c r="J237" t="s">
        <v>17</v>
      </c>
      <c r="K237" s="18" t="s">
        <v>142</v>
      </c>
      <c r="L237" s="19"/>
      <c r="M237" s="33" t="s">
        <v>196</v>
      </c>
      <c r="N237"/>
      <c r="O237" s="18" t="s">
        <v>682</v>
      </c>
    </row>
    <row r="238" spans="1:15" ht="30" x14ac:dyDescent="0.25">
      <c r="A238" s="18" t="s">
        <v>257</v>
      </c>
      <c r="B238" s="38">
        <v>6</v>
      </c>
      <c r="C238" s="37" t="s">
        <v>683</v>
      </c>
      <c r="D238" s="39" t="s">
        <v>18</v>
      </c>
      <c r="E238" s="30" t="s">
        <v>129</v>
      </c>
      <c r="F238" s="18" t="s">
        <v>17</v>
      </c>
      <c r="G238" s="18" t="s">
        <v>294</v>
      </c>
      <c r="H238" s="18" t="s">
        <v>123</v>
      </c>
      <c r="J238" t="s">
        <v>17</v>
      </c>
      <c r="L238" s="19" t="s">
        <v>684</v>
      </c>
      <c r="M238" s="33" t="s">
        <v>196</v>
      </c>
      <c r="N238"/>
      <c r="O238" s="18" t="s">
        <v>685</v>
      </c>
    </row>
    <row r="239" spans="1:15" ht="30" x14ac:dyDescent="0.25">
      <c r="A239" s="18" t="s">
        <v>927</v>
      </c>
      <c r="B239" s="38">
        <v>6</v>
      </c>
      <c r="C239" s="37" t="s">
        <v>974</v>
      </c>
      <c r="D239" s="39" t="s">
        <v>116</v>
      </c>
      <c r="E239" s="30" t="s">
        <v>129</v>
      </c>
      <c r="F239" s="18" t="s">
        <v>101</v>
      </c>
      <c r="G239" s="18" t="s">
        <v>130</v>
      </c>
      <c r="H239" s="18" t="s">
        <v>715</v>
      </c>
      <c r="J239" t="s">
        <v>17</v>
      </c>
      <c r="L239" s="19" t="s">
        <v>975</v>
      </c>
      <c r="M239" s="33" t="s">
        <v>196</v>
      </c>
      <c r="N239"/>
      <c r="O239" s="18" t="s">
        <v>976</v>
      </c>
    </row>
    <row r="240" spans="1:15" x14ac:dyDescent="0.25">
      <c r="A240" s="18" t="s">
        <v>257</v>
      </c>
      <c r="B240" s="38">
        <v>7</v>
      </c>
      <c r="C240" s="37" t="s">
        <v>189</v>
      </c>
      <c r="D240" s="39" t="s">
        <v>18</v>
      </c>
      <c r="E240" s="30" t="s">
        <v>118</v>
      </c>
      <c r="F240" s="18" t="s">
        <v>17</v>
      </c>
      <c r="G240" s="18" t="s">
        <v>130</v>
      </c>
      <c r="H240" s="18" t="s">
        <v>134</v>
      </c>
      <c r="J240" t="s">
        <v>101</v>
      </c>
      <c r="L240" s="19" t="s">
        <v>114</v>
      </c>
      <c r="M240" s="33" t="s">
        <v>196</v>
      </c>
      <c r="N240"/>
      <c r="O240" s="18" t="s">
        <v>258</v>
      </c>
    </row>
    <row r="241" spans="1:15" ht="30" x14ac:dyDescent="0.25">
      <c r="A241" s="18" t="s">
        <v>238</v>
      </c>
      <c r="B241" s="38">
        <v>7</v>
      </c>
      <c r="C241" s="37" t="s">
        <v>686</v>
      </c>
      <c r="D241" s="39" t="s">
        <v>18</v>
      </c>
      <c r="E241" s="30" t="s">
        <v>111</v>
      </c>
      <c r="F241" s="18" t="s">
        <v>101</v>
      </c>
      <c r="G241" s="18" t="s">
        <v>544</v>
      </c>
      <c r="H241" s="18" t="s">
        <v>116</v>
      </c>
      <c r="I241" s="18" t="s">
        <v>113</v>
      </c>
      <c r="J241" t="s">
        <v>17</v>
      </c>
      <c r="L241" s="19" t="s">
        <v>687</v>
      </c>
      <c r="M241" s="33" t="s">
        <v>196</v>
      </c>
      <c r="N241"/>
      <c r="O241" s="18" t="s">
        <v>688</v>
      </c>
    </row>
    <row r="242" spans="1:15" x14ac:dyDescent="0.25">
      <c r="A242" s="18" t="s">
        <v>193</v>
      </c>
      <c r="B242" s="38">
        <v>7</v>
      </c>
      <c r="C242" s="37" t="s">
        <v>689</v>
      </c>
      <c r="D242" s="39" t="s">
        <v>18</v>
      </c>
      <c r="E242" s="30" t="s">
        <v>111</v>
      </c>
      <c r="F242" s="18" t="s">
        <v>101</v>
      </c>
      <c r="G242" s="18" t="s">
        <v>527</v>
      </c>
      <c r="H242" s="18" t="s">
        <v>116</v>
      </c>
      <c r="I242" s="18" t="s">
        <v>690</v>
      </c>
      <c r="J242" t="s">
        <v>101</v>
      </c>
      <c r="K242" s="18" t="s">
        <v>160</v>
      </c>
      <c r="L242" s="19"/>
      <c r="M242" s="33" t="s">
        <v>196</v>
      </c>
      <c r="N242"/>
      <c r="O242" s="18" t="s">
        <v>691</v>
      </c>
    </row>
    <row r="243" spans="1:15" x14ac:dyDescent="0.25">
      <c r="A243" s="18" t="s">
        <v>213</v>
      </c>
      <c r="B243" s="38">
        <v>7</v>
      </c>
      <c r="C243" s="37" t="s">
        <v>692</v>
      </c>
      <c r="D243" s="39" t="s">
        <v>18</v>
      </c>
      <c r="E243" s="30" t="s">
        <v>140</v>
      </c>
      <c r="F243" s="18" t="s">
        <v>17</v>
      </c>
      <c r="G243" s="18" t="s">
        <v>544</v>
      </c>
      <c r="H243" s="18" t="s">
        <v>112</v>
      </c>
      <c r="I243" s="18" t="s">
        <v>693</v>
      </c>
      <c r="J243" t="s">
        <v>17</v>
      </c>
      <c r="K243" s="18" t="s">
        <v>142</v>
      </c>
      <c r="L243" s="19" t="s">
        <v>114</v>
      </c>
      <c r="M243" s="33" t="s">
        <v>196</v>
      </c>
      <c r="N243"/>
      <c r="O243" s="18" t="s">
        <v>694</v>
      </c>
    </row>
    <row r="244" spans="1:15" x14ac:dyDescent="0.25">
      <c r="A244" s="18" t="s">
        <v>594</v>
      </c>
      <c r="B244" s="38">
        <v>7</v>
      </c>
      <c r="C244" s="37" t="s">
        <v>695</v>
      </c>
      <c r="D244" s="39" t="s">
        <v>18</v>
      </c>
      <c r="E244" s="30" t="s">
        <v>111</v>
      </c>
      <c r="F244" s="18" t="s">
        <v>17</v>
      </c>
      <c r="G244" s="18" t="s">
        <v>696</v>
      </c>
      <c r="H244" s="18" t="s">
        <v>123</v>
      </c>
      <c r="J244" t="s">
        <v>17</v>
      </c>
      <c r="K244" s="18" t="s">
        <v>146</v>
      </c>
      <c r="L244" s="19" t="s">
        <v>697</v>
      </c>
      <c r="M244" s="33" t="s">
        <v>196</v>
      </c>
      <c r="N244"/>
      <c r="O244" s="18" t="s">
        <v>698</v>
      </c>
    </row>
    <row r="245" spans="1:15" ht="45" x14ac:dyDescent="0.25">
      <c r="A245" s="18" t="s">
        <v>238</v>
      </c>
      <c r="B245" s="38">
        <v>7</v>
      </c>
      <c r="C245" s="37" t="s">
        <v>699</v>
      </c>
      <c r="D245" s="39" t="s">
        <v>116</v>
      </c>
      <c r="E245" s="30" t="s">
        <v>100</v>
      </c>
      <c r="F245" s="18" t="s">
        <v>17</v>
      </c>
      <c r="G245" s="18" t="s">
        <v>553</v>
      </c>
      <c r="H245" s="18" t="s">
        <v>177</v>
      </c>
      <c r="J245" t="s">
        <v>17</v>
      </c>
      <c r="L245" s="19" t="s">
        <v>700</v>
      </c>
      <c r="M245" s="33" t="s">
        <v>196</v>
      </c>
      <c r="N245"/>
      <c r="O245" s="18" t="s">
        <v>701</v>
      </c>
    </row>
    <row r="246" spans="1:15" x14ac:dyDescent="0.25">
      <c r="A246" s="18" t="s">
        <v>702</v>
      </c>
      <c r="B246" s="38">
        <v>7</v>
      </c>
      <c r="C246" s="37" t="s">
        <v>703</v>
      </c>
      <c r="D246" s="39" t="s">
        <v>131</v>
      </c>
      <c r="E246" s="30" t="s">
        <v>151</v>
      </c>
      <c r="F246" s="18" t="s">
        <v>17</v>
      </c>
      <c r="G246" s="18" t="s">
        <v>704</v>
      </c>
      <c r="H246" s="18" t="s">
        <v>187</v>
      </c>
      <c r="J246" t="s">
        <v>17</v>
      </c>
      <c r="L246" s="19" t="s">
        <v>114</v>
      </c>
      <c r="M246" s="33" t="s">
        <v>196</v>
      </c>
      <c r="N246"/>
      <c r="O246" s="18" t="s">
        <v>705</v>
      </c>
    </row>
    <row r="247" spans="1:15" ht="30" x14ac:dyDescent="0.25">
      <c r="A247" s="18" t="s">
        <v>706</v>
      </c>
      <c r="B247" s="38">
        <v>7</v>
      </c>
      <c r="C247" s="37" t="s">
        <v>707</v>
      </c>
      <c r="D247" s="39" t="s">
        <v>18</v>
      </c>
      <c r="E247" s="30" t="s">
        <v>100</v>
      </c>
      <c r="F247" s="18" t="s">
        <v>17</v>
      </c>
      <c r="G247" s="18" t="s">
        <v>294</v>
      </c>
      <c r="H247" s="18" t="s">
        <v>112</v>
      </c>
      <c r="J247" t="s">
        <v>17</v>
      </c>
      <c r="K247" s="18" t="s">
        <v>146</v>
      </c>
      <c r="L247" s="19" t="s">
        <v>708</v>
      </c>
      <c r="M247" s="33" t="s">
        <v>196</v>
      </c>
      <c r="N247"/>
      <c r="O247" s="18" t="s">
        <v>709</v>
      </c>
    </row>
    <row r="248" spans="1:15" x14ac:dyDescent="0.25">
      <c r="A248" s="18" t="s">
        <v>193</v>
      </c>
      <c r="B248" s="38">
        <v>7</v>
      </c>
      <c r="C248" s="37" t="s">
        <v>710</v>
      </c>
      <c r="D248" s="39" t="s">
        <v>18</v>
      </c>
      <c r="E248" s="30" t="s">
        <v>111</v>
      </c>
      <c r="F248" s="18" t="s">
        <v>17</v>
      </c>
      <c r="G248" s="18" t="s">
        <v>711</v>
      </c>
      <c r="H248" s="18" t="s">
        <v>112</v>
      </c>
      <c r="I248" s="18" t="s">
        <v>270</v>
      </c>
      <c r="J248" t="s">
        <v>17</v>
      </c>
      <c r="K248" s="18" t="s">
        <v>160</v>
      </c>
      <c r="L248" s="19" t="s">
        <v>114</v>
      </c>
      <c r="M248" s="33" t="s">
        <v>196</v>
      </c>
      <c r="N248"/>
      <c r="O248" s="18" t="s">
        <v>712</v>
      </c>
    </row>
    <row r="249" spans="1:15" x14ac:dyDescent="0.25">
      <c r="A249" s="18" t="s">
        <v>238</v>
      </c>
      <c r="B249" s="38">
        <v>7</v>
      </c>
      <c r="C249" s="37" t="s">
        <v>713</v>
      </c>
      <c r="D249" s="39" t="s">
        <v>18</v>
      </c>
      <c r="E249" s="30" t="s">
        <v>151</v>
      </c>
      <c r="F249" s="18" t="s">
        <v>101</v>
      </c>
      <c r="G249" s="18" t="s">
        <v>714</v>
      </c>
      <c r="H249" s="18" t="s">
        <v>715</v>
      </c>
      <c r="J249" t="s">
        <v>17</v>
      </c>
      <c r="L249" s="19" t="s">
        <v>716</v>
      </c>
      <c r="M249" s="33" t="s">
        <v>196</v>
      </c>
      <c r="N249"/>
      <c r="O249" s="18" t="s">
        <v>717</v>
      </c>
    </row>
    <row r="250" spans="1:15" x14ac:dyDescent="0.25">
      <c r="A250" s="18" t="s">
        <v>247</v>
      </c>
      <c r="B250" s="38">
        <v>7</v>
      </c>
      <c r="C250" s="37" t="s">
        <v>718</v>
      </c>
      <c r="D250" s="39" t="s">
        <v>18</v>
      </c>
      <c r="E250" s="30" t="s">
        <v>118</v>
      </c>
      <c r="F250" s="18" t="s">
        <v>101</v>
      </c>
      <c r="G250" s="18" t="s">
        <v>696</v>
      </c>
      <c r="H250" s="18" t="s">
        <v>116</v>
      </c>
      <c r="J250" t="s">
        <v>17</v>
      </c>
      <c r="K250" s="18" t="s">
        <v>160</v>
      </c>
      <c r="L250" s="19" t="s">
        <v>22</v>
      </c>
      <c r="M250" s="33" t="s">
        <v>196</v>
      </c>
      <c r="N250"/>
      <c r="O250" s="18" t="s">
        <v>719</v>
      </c>
    </row>
    <row r="251" spans="1:15" ht="45" x14ac:dyDescent="0.25">
      <c r="A251" s="18" t="s">
        <v>99</v>
      </c>
      <c r="B251" s="38">
        <v>7</v>
      </c>
      <c r="C251" s="37" t="s">
        <v>720</v>
      </c>
      <c r="D251" s="39" t="s">
        <v>18</v>
      </c>
      <c r="E251" s="30" t="s">
        <v>118</v>
      </c>
      <c r="F251" s="18" t="s">
        <v>17</v>
      </c>
      <c r="G251" s="18" t="s">
        <v>294</v>
      </c>
      <c r="H251" s="18" t="s">
        <v>363</v>
      </c>
      <c r="J251" t="s">
        <v>17</v>
      </c>
      <c r="L251" s="19" t="s">
        <v>721</v>
      </c>
      <c r="M251" s="33" t="s">
        <v>196</v>
      </c>
      <c r="N251"/>
      <c r="O251" s="18" t="s">
        <v>722</v>
      </c>
    </row>
    <row r="252" spans="1:15" ht="30" x14ac:dyDescent="0.25">
      <c r="A252" s="18" t="s">
        <v>99</v>
      </c>
      <c r="B252" s="38">
        <v>7</v>
      </c>
      <c r="C252" s="37" t="s">
        <v>723</v>
      </c>
      <c r="D252" s="39" t="s">
        <v>724</v>
      </c>
      <c r="E252" s="30" t="s">
        <v>151</v>
      </c>
      <c r="F252" s="18" t="s">
        <v>17</v>
      </c>
      <c r="G252" s="18" t="s">
        <v>294</v>
      </c>
      <c r="H252" s="18" t="s">
        <v>363</v>
      </c>
      <c r="J252" t="s">
        <v>17</v>
      </c>
      <c r="L252" s="19" t="s">
        <v>725</v>
      </c>
      <c r="M252" s="33" t="s">
        <v>196</v>
      </c>
      <c r="N252"/>
      <c r="O252" s="18" t="s">
        <v>726</v>
      </c>
    </row>
    <row r="253" spans="1:15" ht="45" x14ac:dyDescent="0.25">
      <c r="A253" s="18" t="s">
        <v>232</v>
      </c>
      <c r="B253" s="38">
        <v>7</v>
      </c>
      <c r="C253" s="37" t="s">
        <v>727</v>
      </c>
      <c r="D253" s="39" t="s">
        <v>116</v>
      </c>
      <c r="E253" s="30" t="s">
        <v>133</v>
      </c>
      <c r="F253" s="18" t="s">
        <v>17</v>
      </c>
      <c r="G253" s="18" t="s">
        <v>294</v>
      </c>
      <c r="H253" s="18" t="s">
        <v>363</v>
      </c>
      <c r="I253" s="18" t="s">
        <v>728</v>
      </c>
      <c r="J253" t="s">
        <v>17</v>
      </c>
      <c r="L253" s="19" t="s">
        <v>729</v>
      </c>
      <c r="M253" s="33" t="s">
        <v>196</v>
      </c>
      <c r="N253"/>
      <c r="O253" s="18" t="s">
        <v>730</v>
      </c>
    </row>
    <row r="254" spans="1:15" x14ac:dyDescent="0.25">
      <c r="A254" s="18" t="s">
        <v>201</v>
      </c>
      <c r="B254" s="38">
        <v>7</v>
      </c>
      <c r="C254" s="37" t="s">
        <v>731</v>
      </c>
      <c r="D254" s="39" t="s">
        <v>18</v>
      </c>
      <c r="E254" s="30" t="s">
        <v>100</v>
      </c>
      <c r="F254" s="18" t="s">
        <v>17</v>
      </c>
      <c r="G254" s="18" t="s">
        <v>491</v>
      </c>
      <c r="H254" s="18" t="s">
        <v>112</v>
      </c>
      <c r="J254" t="s">
        <v>17</v>
      </c>
      <c r="L254" s="19" t="s">
        <v>121</v>
      </c>
      <c r="M254" s="33" t="s">
        <v>196</v>
      </c>
      <c r="N254"/>
      <c r="O254" s="18" t="s">
        <v>732</v>
      </c>
    </row>
    <row r="255" spans="1:15" x14ac:dyDescent="0.25">
      <c r="A255" s="18" t="s">
        <v>927</v>
      </c>
      <c r="B255" s="38">
        <v>7</v>
      </c>
      <c r="C255" s="37" t="s">
        <v>977</v>
      </c>
      <c r="D255" s="39" t="s">
        <v>116</v>
      </c>
      <c r="E255" s="30" t="s">
        <v>118</v>
      </c>
      <c r="F255" s="18" t="s">
        <v>17</v>
      </c>
      <c r="G255" s="18" t="s">
        <v>294</v>
      </c>
      <c r="H255" s="18" t="s">
        <v>123</v>
      </c>
      <c r="I255" s="18" t="s">
        <v>978</v>
      </c>
      <c r="J255" t="s">
        <v>17</v>
      </c>
      <c r="L255" s="19" t="s">
        <v>22</v>
      </c>
      <c r="M255" s="33" t="s">
        <v>196</v>
      </c>
      <c r="N255"/>
      <c r="O255" s="18" t="s">
        <v>979</v>
      </c>
    </row>
    <row r="256" spans="1:15" ht="30" x14ac:dyDescent="0.25">
      <c r="A256" s="18" t="s">
        <v>857</v>
      </c>
      <c r="B256" s="38">
        <v>7</v>
      </c>
      <c r="C256" s="37" t="s">
        <v>980</v>
      </c>
      <c r="D256" s="39" t="s">
        <v>123</v>
      </c>
      <c r="E256" s="30" t="s">
        <v>140</v>
      </c>
      <c r="F256" s="18" t="s">
        <v>17</v>
      </c>
      <c r="G256" s="18" t="s">
        <v>294</v>
      </c>
      <c r="H256" s="18" t="s">
        <v>112</v>
      </c>
      <c r="J256" t="s">
        <v>17</v>
      </c>
      <c r="L256" s="19" t="s">
        <v>981</v>
      </c>
      <c r="M256" s="33" t="s">
        <v>196</v>
      </c>
      <c r="N256"/>
      <c r="O256" s="18" t="s">
        <v>982</v>
      </c>
    </row>
    <row r="257" spans="1:15" x14ac:dyDescent="0.25">
      <c r="A257" s="18" t="s">
        <v>489</v>
      </c>
      <c r="B257" s="38">
        <v>8</v>
      </c>
      <c r="C257" s="37" t="s">
        <v>733</v>
      </c>
      <c r="D257" s="39" t="s">
        <v>18</v>
      </c>
      <c r="E257" s="30" t="s">
        <v>133</v>
      </c>
      <c r="F257" s="18" t="s">
        <v>101</v>
      </c>
      <c r="G257" s="18" t="s">
        <v>734</v>
      </c>
      <c r="H257" s="18" t="s">
        <v>123</v>
      </c>
      <c r="J257" t="s">
        <v>17</v>
      </c>
      <c r="L257" s="19" t="s">
        <v>22</v>
      </c>
      <c r="M257" s="33" t="s">
        <v>196</v>
      </c>
      <c r="N257"/>
      <c r="O257" s="18" t="s">
        <v>735</v>
      </c>
    </row>
    <row r="258" spans="1:15" x14ac:dyDescent="0.25">
      <c r="A258" s="18" t="s">
        <v>287</v>
      </c>
      <c r="B258" s="38">
        <v>8</v>
      </c>
      <c r="C258" s="37" t="s">
        <v>736</v>
      </c>
      <c r="D258" s="39" t="s">
        <v>123</v>
      </c>
      <c r="E258" s="30" t="s">
        <v>148</v>
      </c>
      <c r="F258" s="18" t="s">
        <v>17</v>
      </c>
      <c r="G258" s="18" t="s">
        <v>544</v>
      </c>
      <c r="H258" s="18" t="s">
        <v>187</v>
      </c>
      <c r="J258" t="s">
        <v>17</v>
      </c>
      <c r="K258" s="18" t="s">
        <v>149</v>
      </c>
      <c r="L258" s="19" t="s">
        <v>22</v>
      </c>
      <c r="M258" s="33" t="s">
        <v>196</v>
      </c>
      <c r="N258"/>
      <c r="O258" s="18" t="s">
        <v>737</v>
      </c>
    </row>
    <row r="259" spans="1:15" ht="60" x14ac:dyDescent="0.25">
      <c r="A259" s="18" t="s">
        <v>99</v>
      </c>
      <c r="B259" s="38">
        <v>8</v>
      </c>
      <c r="C259" s="37" t="s">
        <v>738</v>
      </c>
      <c r="D259" s="39" t="s">
        <v>123</v>
      </c>
      <c r="E259" s="30" t="s">
        <v>140</v>
      </c>
      <c r="F259" s="18" t="s">
        <v>17</v>
      </c>
      <c r="G259" s="18" t="s">
        <v>294</v>
      </c>
      <c r="H259" s="18" t="s">
        <v>112</v>
      </c>
      <c r="J259" t="s">
        <v>17</v>
      </c>
      <c r="L259" s="19" t="s">
        <v>739</v>
      </c>
      <c r="M259" s="33" t="s">
        <v>196</v>
      </c>
      <c r="N259"/>
      <c r="O259" s="18" t="s">
        <v>740</v>
      </c>
    </row>
    <row r="260" spans="1:15" x14ac:dyDescent="0.25">
      <c r="A260" s="18" t="s">
        <v>551</v>
      </c>
      <c r="B260" s="38">
        <v>8</v>
      </c>
      <c r="C260" s="37" t="s">
        <v>741</v>
      </c>
      <c r="D260" s="39" t="s">
        <v>131</v>
      </c>
      <c r="E260" s="30" t="s">
        <v>118</v>
      </c>
      <c r="F260" s="18" t="s">
        <v>101</v>
      </c>
      <c r="G260" s="18" t="s">
        <v>742</v>
      </c>
      <c r="H260" s="18" t="s">
        <v>134</v>
      </c>
      <c r="J260" t="s">
        <v>17</v>
      </c>
      <c r="L260" s="19" t="s">
        <v>22</v>
      </c>
      <c r="M260" s="33" t="s">
        <v>196</v>
      </c>
      <c r="N260"/>
      <c r="O260" s="18" t="s">
        <v>743</v>
      </c>
    </row>
    <row r="261" spans="1:15" x14ac:dyDescent="0.25">
      <c r="A261" s="18" t="s">
        <v>245</v>
      </c>
      <c r="B261" s="38">
        <v>8</v>
      </c>
      <c r="C261" s="37" t="s">
        <v>744</v>
      </c>
      <c r="D261" s="39" t="s">
        <v>18</v>
      </c>
      <c r="E261" s="30" t="s">
        <v>100</v>
      </c>
      <c r="F261" s="18" t="s">
        <v>17</v>
      </c>
      <c r="G261" s="18" t="s">
        <v>544</v>
      </c>
      <c r="H261" s="18" t="s">
        <v>123</v>
      </c>
      <c r="J261" t="s">
        <v>17</v>
      </c>
      <c r="L261" s="19" t="s">
        <v>124</v>
      </c>
      <c r="M261" s="33" t="s">
        <v>196</v>
      </c>
      <c r="N261"/>
      <c r="O261" s="18" t="s">
        <v>745</v>
      </c>
    </row>
    <row r="262" spans="1:15" x14ac:dyDescent="0.25">
      <c r="A262" s="18" t="s">
        <v>194</v>
      </c>
      <c r="B262" s="38">
        <v>8</v>
      </c>
      <c r="C262" s="37" t="s">
        <v>746</v>
      </c>
      <c r="D262" s="39" t="s">
        <v>18</v>
      </c>
      <c r="E262" s="30" t="s">
        <v>148</v>
      </c>
      <c r="F262" s="18" t="s">
        <v>101</v>
      </c>
      <c r="G262" s="18" t="s">
        <v>544</v>
      </c>
      <c r="H262" s="18" t="s">
        <v>123</v>
      </c>
      <c r="J262" t="s">
        <v>101</v>
      </c>
      <c r="K262" s="18" t="s">
        <v>149</v>
      </c>
      <c r="L262" s="19"/>
      <c r="M262" s="33" t="s">
        <v>196</v>
      </c>
      <c r="N262"/>
      <c r="O262" s="18" t="s">
        <v>747</v>
      </c>
    </row>
    <row r="263" spans="1:15" x14ac:dyDescent="0.25">
      <c r="A263" s="18" t="s">
        <v>564</v>
      </c>
      <c r="B263" s="38">
        <v>8</v>
      </c>
      <c r="C263" s="37" t="s">
        <v>748</v>
      </c>
      <c r="D263" s="39" t="s">
        <v>18</v>
      </c>
      <c r="E263" s="30" t="s">
        <v>148</v>
      </c>
      <c r="F263" s="18" t="s">
        <v>17</v>
      </c>
      <c r="G263" s="18" t="s">
        <v>527</v>
      </c>
      <c r="H263" s="18" t="s">
        <v>112</v>
      </c>
      <c r="I263" s="18" t="s">
        <v>749</v>
      </c>
      <c r="J263" t="s">
        <v>17</v>
      </c>
      <c r="K263" s="18" t="s">
        <v>600</v>
      </c>
      <c r="L263" s="19" t="s">
        <v>22</v>
      </c>
      <c r="M263" s="33" t="s">
        <v>196</v>
      </c>
      <c r="N263"/>
      <c r="O263" s="18" t="s">
        <v>750</v>
      </c>
    </row>
    <row r="264" spans="1:15" x14ac:dyDescent="0.25">
      <c r="A264" s="18" t="s">
        <v>193</v>
      </c>
      <c r="B264" s="38">
        <v>8</v>
      </c>
      <c r="C264" s="37" t="s">
        <v>751</v>
      </c>
      <c r="D264" s="39" t="s">
        <v>18</v>
      </c>
      <c r="E264" s="30" t="s">
        <v>100</v>
      </c>
      <c r="F264" s="18" t="s">
        <v>101</v>
      </c>
      <c r="G264" s="18" t="s">
        <v>527</v>
      </c>
      <c r="H264" s="18" t="s">
        <v>116</v>
      </c>
      <c r="I264" s="18" t="s">
        <v>184</v>
      </c>
      <c r="J264" t="s">
        <v>17</v>
      </c>
      <c r="K264" s="18" t="s">
        <v>160</v>
      </c>
      <c r="L264" s="19" t="s">
        <v>114</v>
      </c>
      <c r="M264" s="33" t="s">
        <v>196</v>
      </c>
      <c r="N264"/>
      <c r="O264" s="18" t="s">
        <v>752</v>
      </c>
    </row>
    <row r="265" spans="1:15" x14ac:dyDescent="0.25">
      <c r="A265" s="18" t="s">
        <v>99</v>
      </c>
      <c r="B265" s="38">
        <v>8</v>
      </c>
      <c r="C265" s="37" t="s">
        <v>753</v>
      </c>
      <c r="D265" s="39" t="s">
        <v>18</v>
      </c>
      <c r="E265" s="30" t="s">
        <v>100</v>
      </c>
      <c r="F265" s="18" t="s">
        <v>101</v>
      </c>
      <c r="G265" s="18" t="s">
        <v>544</v>
      </c>
      <c r="H265" s="18" t="s">
        <v>131</v>
      </c>
      <c r="J265" t="s">
        <v>17</v>
      </c>
      <c r="L265" s="19" t="s">
        <v>114</v>
      </c>
      <c r="M265" s="33" t="s">
        <v>196</v>
      </c>
      <c r="N265"/>
      <c r="O265" s="18" t="s">
        <v>754</v>
      </c>
    </row>
    <row r="266" spans="1:15" x14ac:dyDescent="0.25">
      <c r="A266" s="18" t="s">
        <v>238</v>
      </c>
      <c r="B266" s="38">
        <v>8</v>
      </c>
      <c r="C266" s="37" t="s">
        <v>755</v>
      </c>
      <c r="D266" s="39" t="s">
        <v>18</v>
      </c>
      <c r="E266" s="30" t="s">
        <v>133</v>
      </c>
      <c r="F266" s="18" t="s">
        <v>17</v>
      </c>
      <c r="G266" s="18" t="s">
        <v>294</v>
      </c>
      <c r="H266" s="18" t="s">
        <v>177</v>
      </c>
      <c r="J266" t="s">
        <v>17</v>
      </c>
      <c r="L266" s="19" t="s">
        <v>114</v>
      </c>
      <c r="M266" s="33" t="s">
        <v>196</v>
      </c>
      <c r="N266"/>
      <c r="O266" s="18" t="s">
        <v>756</v>
      </c>
    </row>
    <row r="267" spans="1:15" x14ac:dyDescent="0.25">
      <c r="A267" s="18" t="s">
        <v>194</v>
      </c>
      <c r="B267" s="38">
        <v>8</v>
      </c>
      <c r="C267" s="37" t="s">
        <v>757</v>
      </c>
      <c r="D267" s="39" t="s">
        <v>18</v>
      </c>
      <c r="E267" s="30" t="s">
        <v>148</v>
      </c>
      <c r="F267" s="18" t="s">
        <v>17</v>
      </c>
      <c r="G267" s="18" t="s">
        <v>544</v>
      </c>
      <c r="H267" s="18" t="s">
        <v>112</v>
      </c>
      <c r="J267" t="s">
        <v>17</v>
      </c>
      <c r="K267" s="18" t="s">
        <v>142</v>
      </c>
      <c r="L267" s="19" t="s">
        <v>121</v>
      </c>
      <c r="M267" s="33" t="s">
        <v>196</v>
      </c>
      <c r="N267"/>
      <c r="O267" s="18" t="s">
        <v>758</v>
      </c>
    </row>
    <row r="268" spans="1:15" x14ac:dyDescent="0.25">
      <c r="A268" s="18" t="s">
        <v>247</v>
      </c>
      <c r="B268" s="38">
        <v>8</v>
      </c>
      <c r="C268" s="37" t="s">
        <v>759</v>
      </c>
      <c r="D268" s="39" t="s">
        <v>18</v>
      </c>
      <c r="E268" s="30" t="s">
        <v>111</v>
      </c>
      <c r="F268" s="18" t="s">
        <v>17</v>
      </c>
      <c r="G268" s="18" t="s">
        <v>527</v>
      </c>
      <c r="H268" s="18" t="s">
        <v>112</v>
      </c>
      <c r="I268" s="18" t="s">
        <v>690</v>
      </c>
      <c r="J268" t="s">
        <v>17</v>
      </c>
      <c r="K268" s="18" t="s">
        <v>142</v>
      </c>
      <c r="L268" s="19"/>
      <c r="M268" s="33" t="s">
        <v>196</v>
      </c>
      <c r="N268"/>
      <c r="O268" s="18" t="s">
        <v>760</v>
      </c>
    </row>
    <row r="269" spans="1:15" x14ac:dyDescent="0.25">
      <c r="A269" s="18" t="s">
        <v>940</v>
      </c>
      <c r="B269" s="38">
        <v>8</v>
      </c>
      <c r="C269" s="37" t="s">
        <v>983</v>
      </c>
      <c r="D269" s="39" t="s">
        <v>18</v>
      </c>
      <c r="E269" s="30" t="s">
        <v>118</v>
      </c>
      <c r="F269" s="18" t="s">
        <v>17</v>
      </c>
      <c r="G269" s="18" t="s">
        <v>130</v>
      </c>
      <c r="H269" s="18" t="s">
        <v>123</v>
      </c>
      <c r="J269" t="s">
        <v>17</v>
      </c>
      <c r="L269" s="19" t="s">
        <v>121</v>
      </c>
      <c r="M269" s="33" t="s">
        <v>196</v>
      </c>
      <c r="N269"/>
      <c r="O269" s="18" t="s">
        <v>984</v>
      </c>
    </row>
    <row r="270" spans="1:15" ht="45" x14ac:dyDescent="0.25">
      <c r="A270" s="18" t="s">
        <v>646</v>
      </c>
      <c r="B270" s="38">
        <v>9</v>
      </c>
      <c r="C270" s="37" t="s">
        <v>761</v>
      </c>
      <c r="D270" s="39" t="s">
        <v>123</v>
      </c>
      <c r="E270" s="30" t="s">
        <v>140</v>
      </c>
      <c r="F270" s="18" t="s">
        <v>17</v>
      </c>
      <c r="G270" s="18" t="s">
        <v>491</v>
      </c>
      <c r="H270" s="18" t="s">
        <v>603</v>
      </c>
      <c r="J270" t="s">
        <v>17</v>
      </c>
      <c r="L270" s="19" t="s">
        <v>762</v>
      </c>
      <c r="M270" s="33" t="s">
        <v>196</v>
      </c>
      <c r="N270"/>
      <c r="O270" s="18" t="s">
        <v>763</v>
      </c>
    </row>
    <row r="271" spans="1:15" x14ac:dyDescent="0.25">
      <c r="A271" s="18" t="s">
        <v>564</v>
      </c>
      <c r="B271" s="38">
        <v>9</v>
      </c>
      <c r="C271" s="37" t="s">
        <v>764</v>
      </c>
      <c r="D271" s="39" t="s">
        <v>116</v>
      </c>
      <c r="E271" s="30" t="s">
        <v>129</v>
      </c>
      <c r="F271" s="18" t="s">
        <v>17</v>
      </c>
      <c r="G271" s="18" t="s">
        <v>294</v>
      </c>
      <c r="H271" s="18" t="s">
        <v>134</v>
      </c>
      <c r="J271" t="s">
        <v>17</v>
      </c>
      <c r="L271" s="19" t="s">
        <v>22</v>
      </c>
      <c r="M271" s="33" t="s">
        <v>196</v>
      </c>
      <c r="N271"/>
      <c r="O271" s="18" t="s">
        <v>765</v>
      </c>
    </row>
    <row r="272" spans="1:15" x14ac:dyDescent="0.25">
      <c r="A272" s="18" t="s">
        <v>766</v>
      </c>
      <c r="B272" s="38">
        <v>9</v>
      </c>
      <c r="C272" s="37" t="s">
        <v>767</v>
      </c>
      <c r="D272" s="39" t="s">
        <v>18</v>
      </c>
      <c r="E272" s="30" t="s">
        <v>100</v>
      </c>
      <c r="F272" s="18" t="s">
        <v>101</v>
      </c>
      <c r="G272" s="18" t="s">
        <v>544</v>
      </c>
      <c r="H272" s="18" t="s">
        <v>116</v>
      </c>
      <c r="J272" t="s">
        <v>17</v>
      </c>
      <c r="L272" s="19" t="s">
        <v>768</v>
      </c>
      <c r="M272" s="33" t="s">
        <v>196</v>
      </c>
      <c r="N272"/>
      <c r="O272" s="18" t="s">
        <v>769</v>
      </c>
    </row>
    <row r="273" spans="1:15" ht="45" x14ac:dyDescent="0.25">
      <c r="A273" s="18" t="s">
        <v>245</v>
      </c>
      <c r="B273" s="38">
        <v>9</v>
      </c>
      <c r="C273" s="37" t="s">
        <v>770</v>
      </c>
      <c r="D273" s="39" t="s">
        <v>116</v>
      </c>
      <c r="E273" s="30" t="s">
        <v>133</v>
      </c>
      <c r="F273" s="18" t="s">
        <v>17</v>
      </c>
      <c r="G273" s="18" t="s">
        <v>516</v>
      </c>
      <c r="H273" s="18" t="s">
        <v>363</v>
      </c>
      <c r="J273" t="s">
        <v>17</v>
      </c>
      <c r="K273" s="18" t="s">
        <v>149</v>
      </c>
      <c r="L273" s="19" t="s">
        <v>771</v>
      </c>
      <c r="M273" s="33" t="s">
        <v>196</v>
      </c>
      <c r="N273"/>
      <c r="O273" s="18" t="s">
        <v>772</v>
      </c>
    </row>
    <row r="274" spans="1:15" x14ac:dyDescent="0.25">
      <c r="A274" s="18" t="s">
        <v>193</v>
      </c>
      <c r="B274" s="38">
        <v>9</v>
      </c>
      <c r="C274" s="37" t="s">
        <v>773</v>
      </c>
      <c r="D274" s="39" t="s">
        <v>18</v>
      </c>
      <c r="E274" s="30" t="s">
        <v>111</v>
      </c>
      <c r="F274" s="18" t="s">
        <v>17</v>
      </c>
      <c r="G274" s="18" t="s">
        <v>500</v>
      </c>
      <c r="H274" s="18" t="s">
        <v>112</v>
      </c>
      <c r="I274" s="18" t="s">
        <v>774</v>
      </c>
      <c r="J274" t="s">
        <v>17</v>
      </c>
      <c r="L274" s="19" t="s">
        <v>114</v>
      </c>
      <c r="M274" s="33" t="s">
        <v>196</v>
      </c>
      <c r="N274"/>
      <c r="O274" s="18" t="s">
        <v>775</v>
      </c>
    </row>
    <row r="275" spans="1:15" x14ac:dyDescent="0.25">
      <c r="A275" s="18" t="s">
        <v>194</v>
      </c>
      <c r="B275" s="38">
        <v>9</v>
      </c>
      <c r="C275" s="37" t="s">
        <v>776</v>
      </c>
      <c r="D275" s="39" t="s">
        <v>18</v>
      </c>
      <c r="E275" s="30" t="s">
        <v>148</v>
      </c>
      <c r="F275" s="18" t="s">
        <v>17</v>
      </c>
      <c r="G275" s="18" t="s">
        <v>544</v>
      </c>
      <c r="H275" s="18" t="s">
        <v>112</v>
      </c>
      <c r="J275" t="s">
        <v>17</v>
      </c>
      <c r="L275" s="19" t="s">
        <v>121</v>
      </c>
      <c r="M275" s="33" t="s">
        <v>196</v>
      </c>
      <c r="N275"/>
      <c r="O275" s="18" t="s">
        <v>777</v>
      </c>
    </row>
    <row r="276" spans="1:15" x14ac:dyDescent="0.25">
      <c r="A276" s="18" t="s">
        <v>99</v>
      </c>
      <c r="B276" s="38">
        <v>9</v>
      </c>
      <c r="C276" s="37" t="s">
        <v>778</v>
      </c>
      <c r="D276" s="39" t="s">
        <v>18</v>
      </c>
      <c r="E276" s="30" t="s">
        <v>133</v>
      </c>
      <c r="F276" s="18" t="s">
        <v>17</v>
      </c>
      <c r="G276" s="18" t="s">
        <v>544</v>
      </c>
      <c r="H276" s="18" t="s">
        <v>131</v>
      </c>
      <c r="I276" s="18" t="s">
        <v>270</v>
      </c>
      <c r="J276" t="s">
        <v>17</v>
      </c>
      <c r="K276" s="18" t="s">
        <v>142</v>
      </c>
      <c r="L276" s="19" t="s">
        <v>114</v>
      </c>
      <c r="M276" s="33" t="s">
        <v>196</v>
      </c>
      <c r="N276"/>
      <c r="O276" s="18" t="s">
        <v>779</v>
      </c>
    </row>
    <row r="277" spans="1:15" x14ac:dyDescent="0.25">
      <c r="A277" s="18" t="s">
        <v>287</v>
      </c>
      <c r="B277" s="38">
        <v>9</v>
      </c>
      <c r="C277" s="37" t="s">
        <v>780</v>
      </c>
      <c r="D277" s="39" t="s">
        <v>18</v>
      </c>
      <c r="E277" s="30" t="s">
        <v>118</v>
      </c>
      <c r="F277" s="18" t="s">
        <v>101</v>
      </c>
      <c r="G277" s="18" t="s">
        <v>130</v>
      </c>
      <c r="H277" s="18" t="s">
        <v>123</v>
      </c>
      <c r="J277" t="s">
        <v>17</v>
      </c>
      <c r="L277" s="19" t="s">
        <v>781</v>
      </c>
      <c r="M277" s="33" t="s">
        <v>196</v>
      </c>
      <c r="N277"/>
      <c r="O277" s="18" t="s">
        <v>782</v>
      </c>
    </row>
    <row r="278" spans="1:15" x14ac:dyDescent="0.25">
      <c r="A278" s="18" t="s">
        <v>193</v>
      </c>
      <c r="B278" s="38">
        <v>9</v>
      </c>
      <c r="C278" s="37" t="s">
        <v>783</v>
      </c>
      <c r="D278" s="39" t="s">
        <v>18</v>
      </c>
      <c r="E278" s="30" t="s">
        <v>118</v>
      </c>
      <c r="F278" s="18" t="s">
        <v>17</v>
      </c>
      <c r="G278" s="18" t="s">
        <v>496</v>
      </c>
      <c r="H278" s="18" t="s">
        <v>112</v>
      </c>
      <c r="J278" t="s">
        <v>17</v>
      </c>
      <c r="L278" s="19" t="s">
        <v>121</v>
      </c>
      <c r="M278" s="33" t="s">
        <v>196</v>
      </c>
      <c r="N278"/>
      <c r="O278" s="18" t="s">
        <v>784</v>
      </c>
    </row>
    <row r="279" spans="1:15" x14ac:dyDescent="0.25">
      <c r="A279" s="18" t="s">
        <v>594</v>
      </c>
      <c r="B279" s="38">
        <v>9</v>
      </c>
      <c r="C279" s="37" t="s">
        <v>785</v>
      </c>
      <c r="D279" s="39" t="s">
        <v>18</v>
      </c>
      <c r="E279" s="30" t="s">
        <v>118</v>
      </c>
      <c r="F279" s="18" t="s">
        <v>101</v>
      </c>
      <c r="G279" s="18" t="s">
        <v>516</v>
      </c>
      <c r="H279" s="18" t="s">
        <v>123</v>
      </c>
      <c r="J279" t="s">
        <v>17</v>
      </c>
      <c r="K279" s="18" t="s">
        <v>149</v>
      </c>
      <c r="L279" s="19" t="s">
        <v>22</v>
      </c>
      <c r="M279" s="33" t="s">
        <v>196</v>
      </c>
      <c r="N279"/>
      <c r="O279" s="18" t="s">
        <v>786</v>
      </c>
    </row>
    <row r="280" spans="1:15" x14ac:dyDescent="0.25">
      <c r="A280" s="18" t="s">
        <v>99</v>
      </c>
      <c r="B280" s="38">
        <v>9</v>
      </c>
      <c r="C280" s="37" t="s">
        <v>787</v>
      </c>
      <c r="D280" s="39" t="s">
        <v>18</v>
      </c>
      <c r="E280" s="30" t="s">
        <v>151</v>
      </c>
      <c r="F280" s="18" t="s">
        <v>101</v>
      </c>
      <c r="G280" s="18" t="s">
        <v>507</v>
      </c>
      <c r="H280" s="18" t="s">
        <v>116</v>
      </c>
      <c r="I280" s="18" t="s">
        <v>172</v>
      </c>
      <c r="J280" t="s">
        <v>17</v>
      </c>
      <c r="K280" s="18" t="s">
        <v>149</v>
      </c>
      <c r="L280" s="19" t="s">
        <v>114</v>
      </c>
      <c r="M280" s="33" t="s">
        <v>196</v>
      </c>
      <c r="N280"/>
      <c r="O280" s="18" t="s">
        <v>788</v>
      </c>
    </row>
    <row r="281" spans="1:15" x14ac:dyDescent="0.25">
      <c r="A281" s="18" t="s">
        <v>193</v>
      </c>
      <c r="B281" s="38">
        <v>9</v>
      </c>
      <c r="C281" s="37" t="s">
        <v>789</v>
      </c>
      <c r="D281" s="39" t="s">
        <v>18</v>
      </c>
      <c r="E281" s="30" t="s">
        <v>100</v>
      </c>
      <c r="F281" s="18" t="s">
        <v>17</v>
      </c>
      <c r="G281" s="18" t="s">
        <v>130</v>
      </c>
      <c r="H281" s="18" t="s">
        <v>112</v>
      </c>
      <c r="J281" t="s">
        <v>17</v>
      </c>
      <c r="L281" s="19" t="s">
        <v>121</v>
      </c>
      <c r="M281" s="33" t="s">
        <v>196</v>
      </c>
      <c r="N281"/>
      <c r="O281" s="18" t="s">
        <v>790</v>
      </c>
    </row>
    <row r="282" spans="1:15" x14ac:dyDescent="0.25">
      <c r="B282"/>
      <c r="C282"/>
      <c r="D282"/>
      <c r="E282"/>
      <c r="F282"/>
      <c r="G282"/>
      <c r="H282"/>
      <c r="I282"/>
      <c r="J282"/>
      <c r="K282"/>
      <c r="L282"/>
      <c r="M282"/>
      <c r="N282"/>
    </row>
    <row r="283" spans="1:15" x14ac:dyDescent="0.25">
      <c r="B283"/>
      <c r="C283"/>
      <c r="D283"/>
      <c r="E283"/>
      <c r="F283"/>
      <c r="G283"/>
      <c r="H283"/>
      <c r="I283"/>
      <c r="J283"/>
      <c r="K283"/>
      <c r="L283"/>
      <c r="M283"/>
      <c r="N283"/>
    </row>
    <row r="292" spans="2:14" x14ac:dyDescent="0.25">
      <c r="B292"/>
      <c r="C292"/>
      <c r="D292"/>
      <c r="E292"/>
      <c r="F292"/>
      <c r="G292"/>
      <c r="H292"/>
      <c r="I292"/>
      <c r="J292"/>
      <c r="K292"/>
      <c r="L292"/>
      <c r="M292"/>
      <c r="N292"/>
    </row>
    <row r="293" spans="2:14" x14ac:dyDescent="0.25">
      <c r="B293"/>
      <c r="C293"/>
      <c r="D293"/>
      <c r="E293"/>
      <c r="F293"/>
      <c r="G293"/>
      <c r="H293"/>
      <c r="I293"/>
      <c r="J293"/>
      <c r="K293"/>
      <c r="L293"/>
      <c r="M293"/>
      <c r="N293"/>
    </row>
    <row r="294" spans="2:14" x14ac:dyDescent="0.25">
      <c r="B294"/>
      <c r="C294"/>
      <c r="D294"/>
      <c r="E294"/>
      <c r="F294"/>
      <c r="G294"/>
      <c r="H294"/>
      <c r="I294"/>
      <c r="J294"/>
      <c r="K294"/>
      <c r="L294"/>
      <c r="M294"/>
      <c r="N294"/>
    </row>
    <row r="295" spans="2:14" x14ac:dyDescent="0.25">
      <c r="B295"/>
      <c r="C295"/>
      <c r="D295"/>
      <c r="E295"/>
      <c r="F295"/>
      <c r="G295"/>
      <c r="H295"/>
      <c r="I295"/>
      <c r="J295"/>
      <c r="K295"/>
      <c r="L295"/>
      <c r="M295"/>
      <c r="N295"/>
    </row>
    <row r="296" spans="2:14" x14ac:dyDescent="0.25">
      <c r="B296"/>
      <c r="C296"/>
      <c r="D296"/>
      <c r="E296"/>
      <c r="F296"/>
      <c r="G296"/>
      <c r="H296"/>
      <c r="I296"/>
      <c r="J296"/>
      <c r="K296"/>
      <c r="L296"/>
      <c r="M296"/>
      <c r="N296"/>
    </row>
    <row r="297" spans="2:14" x14ac:dyDescent="0.25">
      <c r="B297"/>
      <c r="C297"/>
      <c r="D297"/>
      <c r="E297"/>
      <c r="F297"/>
      <c r="G297"/>
      <c r="H297"/>
      <c r="I297"/>
      <c r="J297"/>
      <c r="K297"/>
      <c r="L297"/>
      <c r="M297"/>
      <c r="N297"/>
    </row>
    <row r="298" spans="2:14" x14ac:dyDescent="0.25">
      <c r="B298"/>
      <c r="C298"/>
      <c r="D298"/>
      <c r="E298"/>
      <c r="F298"/>
      <c r="G298"/>
      <c r="H298"/>
      <c r="I298"/>
      <c r="J298"/>
      <c r="K298"/>
      <c r="L298"/>
      <c r="M298"/>
      <c r="N298"/>
    </row>
    <row r="299" spans="2:14" x14ac:dyDescent="0.25">
      <c r="B299"/>
      <c r="C299"/>
      <c r="D299"/>
      <c r="E299"/>
      <c r="F299"/>
      <c r="G299"/>
      <c r="H299"/>
      <c r="I299"/>
      <c r="J299"/>
      <c r="K299"/>
      <c r="L299"/>
      <c r="M299"/>
      <c r="N299"/>
    </row>
    <row r="300" spans="2:14" x14ac:dyDescent="0.25">
      <c r="B300"/>
      <c r="C300"/>
      <c r="D300"/>
      <c r="E300"/>
      <c r="F300"/>
      <c r="G300"/>
      <c r="H300"/>
      <c r="I300"/>
      <c r="J300"/>
      <c r="K300"/>
      <c r="L300"/>
      <c r="M300"/>
      <c r="N300"/>
    </row>
    <row r="301" spans="2:14" x14ac:dyDescent="0.25">
      <c r="B301"/>
      <c r="C301"/>
      <c r="D301"/>
      <c r="E301"/>
      <c r="F301"/>
      <c r="G301"/>
      <c r="H301"/>
      <c r="I301"/>
      <c r="J301"/>
      <c r="K301"/>
      <c r="L301"/>
      <c r="M301"/>
      <c r="N301"/>
    </row>
    <row r="302" spans="2:14" x14ac:dyDescent="0.25">
      <c r="B302"/>
      <c r="C302"/>
      <c r="D302"/>
      <c r="E302"/>
      <c r="F302"/>
      <c r="G302"/>
      <c r="H302"/>
      <c r="I302"/>
      <c r="J302"/>
      <c r="K302"/>
      <c r="L302"/>
      <c r="M302"/>
      <c r="N302"/>
    </row>
    <row r="303" spans="2:14" x14ac:dyDescent="0.25">
      <c r="B303"/>
      <c r="C303"/>
      <c r="D303"/>
      <c r="E303"/>
      <c r="F303"/>
      <c r="G303"/>
      <c r="H303"/>
      <c r="I303"/>
      <c r="J303"/>
      <c r="K303"/>
      <c r="L303"/>
      <c r="M303"/>
      <c r="N303"/>
    </row>
    <row r="304" spans="2:14" x14ac:dyDescent="0.25">
      <c r="B304"/>
      <c r="C304"/>
      <c r="D304"/>
      <c r="E304"/>
      <c r="F304"/>
      <c r="G304"/>
      <c r="H304"/>
      <c r="I304"/>
      <c r="J304"/>
      <c r="K304"/>
      <c r="L304"/>
      <c r="M304"/>
      <c r="N304"/>
    </row>
    <row r="305" spans="2:14" x14ac:dyDescent="0.25">
      <c r="B305"/>
      <c r="C305"/>
      <c r="D305"/>
      <c r="E305"/>
      <c r="F305"/>
      <c r="G305"/>
      <c r="H305"/>
      <c r="I305"/>
      <c r="J305"/>
      <c r="K305"/>
      <c r="L305"/>
      <c r="M305"/>
      <c r="N305"/>
    </row>
    <row r="306" spans="2:14" x14ac:dyDescent="0.25">
      <c r="B306"/>
      <c r="C306"/>
      <c r="D306"/>
      <c r="E306"/>
      <c r="F306"/>
      <c r="G306"/>
      <c r="H306"/>
      <c r="I306"/>
      <c r="J306"/>
      <c r="K306"/>
      <c r="L306"/>
      <c r="M306"/>
      <c r="N306"/>
    </row>
    <row r="307" spans="2:14" x14ac:dyDescent="0.25">
      <c r="B307"/>
      <c r="C307"/>
      <c r="D307"/>
      <c r="E307"/>
      <c r="F307"/>
      <c r="G307"/>
      <c r="H307"/>
      <c r="I307"/>
      <c r="J307"/>
      <c r="K307"/>
      <c r="L307"/>
      <c r="M307"/>
      <c r="N307"/>
    </row>
    <row r="308" spans="2:14" x14ac:dyDescent="0.25">
      <c r="B308"/>
      <c r="C308"/>
      <c r="D308"/>
      <c r="E308"/>
      <c r="F308"/>
      <c r="G308"/>
      <c r="H308"/>
      <c r="I308"/>
      <c r="J308"/>
      <c r="K308"/>
      <c r="L308"/>
      <c r="M308"/>
      <c r="N308"/>
    </row>
    <row r="309" spans="2:14" x14ac:dyDescent="0.25">
      <c r="B309"/>
      <c r="C309"/>
      <c r="D309"/>
      <c r="E309"/>
      <c r="F309"/>
      <c r="G309"/>
      <c r="H309"/>
      <c r="I309"/>
      <c r="J309"/>
      <c r="K309"/>
      <c r="L309"/>
      <c r="M309"/>
      <c r="N309"/>
    </row>
    <row r="310" spans="2:14" x14ac:dyDescent="0.25">
      <c r="B310"/>
      <c r="C310"/>
      <c r="D310"/>
      <c r="E310"/>
      <c r="F310"/>
      <c r="G310"/>
      <c r="H310"/>
      <c r="I310"/>
      <c r="J310"/>
      <c r="K310"/>
      <c r="L310"/>
      <c r="M310"/>
      <c r="N310"/>
    </row>
    <row r="311" spans="2:14" x14ac:dyDescent="0.25">
      <c r="B311"/>
      <c r="C311"/>
      <c r="D311"/>
      <c r="E311"/>
      <c r="F311"/>
      <c r="G311"/>
      <c r="H311"/>
      <c r="I311"/>
      <c r="J311"/>
      <c r="K311"/>
      <c r="L311"/>
      <c r="M311"/>
      <c r="N311"/>
    </row>
    <row r="312" spans="2:14" x14ac:dyDescent="0.25">
      <c r="B312"/>
      <c r="C312"/>
      <c r="D312"/>
      <c r="E312"/>
      <c r="F312"/>
      <c r="G312"/>
      <c r="H312"/>
      <c r="I312"/>
      <c r="J312"/>
      <c r="K312"/>
      <c r="L312"/>
      <c r="M312"/>
      <c r="N312"/>
    </row>
    <row r="313" spans="2:14" x14ac:dyDescent="0.25">
      <c r="B313"/>
      <c r="C313"/>
      <c r="D313"/>
      <c r="E313"/>
      <c r="F313"/>
      <c r="G313"/>
      <c r="H313"/>
      <c r="I313"/>
      <c r="J313"/>
      <c r="K313"/>
      <c r="L313"/>
      <c r="M313"/>
      <c r="N313"/>
    </row>
    <row r="314" spans="2:14" x14ac:dyDescent="0.25">
      <c r="B314"/>
      <c r="C314"/>
      <c r="D314"/>
      <c r="E314"/>
      <c r="F314"/>
      <c r="G314"/>
      <c r="H314"/>
      <c r="I314"/>
      <c r="J314"/>
      <c r="K314"/>
      <c r="L314"/>
      <c r="M314"/>
      <c r="N314"/>
    </row>
    <row r="315" spans="2:14" x14ac:dyDescent="0.25">
      <c r="B315"/>
      <c r="C315"/>
      <c r="D315"/>
      <c r="E315"/>
      <c r="F315"/>
      <c r="G315"/>
      <c r="H315"/>
      <c r="I315"/>
      <c r="J315"/>
      <c r="K315"/>
      <c r="L315"/>
      <c r="M315"/>
      <c r="N315"/>
    </row>
    <row r="316" spans="2:14" x14ac:dyDescent="0.25">
      <c r="B316"/>
      <c r="C316"/>
      <c r="D316"/>
      <c r="E316"/>
      <c r="F316"/>
      <c r="G316"/>
      <c r="H316"/>
      <c r="I316"/>
      <c r="J316"/>
      <c r="K316"/>
      <c r="L316"/>
      <c r="M316"/>
      <c r="N316"/>
    </row>
    <row r="317" spans="2:14" x14ac:dyDescent="0.25">
      <c r="B317"/>
      <c r="C317"/>
      <c r="D317"/>
      <c r="E317"/>
      <c r="F317"/>
      <c r="G317"/>
      <c r="H317"/>
      <c r="I317"/>
      <c r="J317"/>
      <c r="K317"/>
      <c r="L317"/>
      <c r="M317"/>
      <c r="N317"/>
    </row>
    <row r="318" spans="2:14" x14ac:dyDescent="0.25">
      <c r="B318"/>
      <c r="C318"/>
      <c r="D318"/>
      <c r="E318"/>
      <c r="F318"/>
      <c r="G318"/>
      <c r="H318"/>
      <c r="I318"/>
      <c r="J318"/>
      <c r="K318"/>
      <c r="L318"/>
      <c r="M318"/>
      <c r="N318"/>
    </row>
    <row r="319" spans="2:14" x14ac:dyDescent="0.25">
      <c r="B319"/>
      <c r="C319"/>
      <c r="D319"/>
      <c r="E319"/>
      <c r="F319"/>
      <c r="G319"/>
      <c r="H319"/>
      <c r="I319"/>
      <c r="J319"/>
      <c r="K319"/>
      <c r="L319"/>
      <c r="M319"/>
      <c r="N319"/>
    </row>
    <row r="320" spans="2:14" x14ac:dyDescent="0.25">
      <c r="B320"/>
      <c r="C320"/>
      <c r="D320"/>
      <c r="E320"/>
      <c r="F320"/>
      <c r="G320"/>
      <c r="H320"/>
      <c r="I320"/>
      <c r="J320"/>
      <c r="K320"/>
      <c r="L320"/>
      <c r="M320"/>
      <c r="N320"/>
    </row>
    <row r="321" spans="2:14" x14ac:dyDescent="0.25">
      <c r="B321"/>
      <c r="C321"/>
      <c r="D321"/>
      <c r="E321"/>
      <c r="F321"/>
      <c r="G321"/>
      <c r="H321"/>
      <c r="I321"/>
      <c r="J321"/>
      <c r="K321"/>
      <c r="L321"/>
      <c r="M321"/>
      <c r="N321"/>
    </row>
    <row r="322" spans="2:14" x14ac:dyDescent="0.25">
      <c r="B322"/>
      <c r="C322"/>
      <c r="D322"/>
      <c r="E322"/>
      <c r="F322"/>
      <c r="G322"/>
      <c r="H322"/>
      <c r="I322"/>
      <c r="J322"/>
      <c r="K322"/>
      <c r="L322"/>
      <c r="M322"/>
      <c r="N322"/>
    </row>
    <row r="323" spans="2:14" x14ac:dyDescent="0.25">
      <c r="B323"/>
      <c r="C323"/>
      <c r="D323"/>
      <c r="E323"/>
      <c r="F323"/>
      <c r="G323"/>
      <c r="H323"/>
      <c r="I323"/>
      <c r="J323"/>
      <c r="K323"/>
      <c r="L323"/>
      <c r="M323"/>
      <c r="N323"/>
    </row>
    <row r="324" spans="2:14" x14ac:dyDescent="0.25">
      <c r="B324"/>
      <c r="C324"/>
      <c r="D324"/>
      <c r="E324"/>
      <c r="F324"/>
      <c r="G324"/>
      <c r="H324"/>
      <c r="I324"/>
      <c r="J324"/>
      <c r="K324"/>
      <c r="L324"/>
      <c r="M324"/>
      <c r="N324"/>
    </row>
    <row r="325" spans="2:14" x14ac:dyDescent="0.25">
      <c r="B325"/>
      <c r="C325"/>
      <c r="D325"/>
      <c r="E325"/>
      <c r="F325"/>
      <c r="G325"/>
      <c r="H325"/>
      <c r="I325"/>
      <c r="J325"/>
      <c r="K325"/>
      <c r="L325"/>
      <c r="M325"/>
      <c r="N325"/>
    </row>
    <row r="326" spans="2:14" x14ac:dyDescent="0.25">
      <c r="B326"/>
      <c r="C326"/>
      <c r="D326"/>
      <c r="E326"/>
      <c r="F326"/>
      <c r="G326"/>
      <c r="H326"/>
      <c r="I326"/>
      <c r="J326"/>
      <c r="K326"/>
      <c r="L326"/>
      <c r="M326"/>
      <c r="N326"/>
    </row>
    <row r="327" spans="2:14" x14ac:dyDescent="0.25">
      <c r="B327"/>
      <c r="C327"/>
      <c r="D327"/>
      <c r="E327"/>
      <c r="F327"/>
      <c r="G327"/>
      <c r="H327"/>
      <c r="I327"/>
      <c r="J327"/>
      <c r="K327"/>
      <c r="L327"/>
      <c r="M327"/>
      <c r="N327"/>
    </row>
    <row r="328" spans="2:14" x14ac:dyDescent="0.25">
      <c r="B328"/>
      <c r="C328"/>
      <c r="D328"/>
      <c r="E328"/>
      <c r="F328"/>
      <c r="G328"/>
      <c r="H328"/>
      <c r="I328"/>
      <c r="J328"/>
      <c r="K328"/>
      <c r="L328"/>
      <c r="M328"/>
      <c r="N328"/>
    </row>
    <row r="329" spans="2:14" x14ac:dyDescent="0.25">
      <c r="B329"/>
      <c r="C329"/>
      <c r="D329"/>
      <c r="E329"/>
      <c r="F329"/>
      <c r="G329"/>
      <c r="H329"/>
      <c r="I329"/>
      <c r="J329"/>
      <c r="K329"/>
      <c r="L329"/>
      <c r="M329"/>
      <c r="N329"/>
    </row>
    <row r="330" spans="2:14" x14ac:dyDescent="0.25">
      <c r="B330"/>
      <c r="C330"/>
      <c r="D330"/>
      <c r="E330"/>
      <c r="F330"/>
      <c r="G330"/>
      <c r="H330"/>
      <c r="I330"/>
      <c r="J330"/>
      <c r="K330"/>
      <c r="L330"/>
      <c r="M330"/>
      <c r="N330"/>
    </row>
    <row r="331" spans="2:14" x14ac:dyDescent="0.25">
      <c r="B331"/>
      <c r="C331"/>
      <c r="D331"/>
      <c r="E331"/>
      <c r="F331"/>
      <c r="G331"/>
      <c r="H331"/>
      <c r="I331"/>
      <c r="J331"/>
      <c r="K331"/>
      <c r="L331"/>
      <c r="M331"/>
      <c r="N331"/>
    </row>
    <row r="332" spans="2:14" x14ac:dyDescent="0.25">
      <c r="B332"/>
      <c r="C332"/>
      <c r="D332"/>
      <c r="E332"/>
      <c r="F332"/>
      <c r="G332"/>
      <c r="H332"/>
      <c r="I332"/>
      <c r="J332"/>
      <c r="K332"/>
      <c r="L332"/>
      <c r="M332"/>
      <c r="N332"/>
    </row>
    <row r="333" spans="2:14" x14ac:dyDescent="0.25">
      <c r="B333"/>
      <c r="C333"/>
      <c r="D333"/>
      <c r="E333"/>
      <c r="F333"/>
      <c r="G333"/>
      <c r="H333"/>
      <c r="I333"/>
      <c r="J333"/>
      <c r="K333"/>
      <c r="L333"/>
      <c r="M333"/>
      <c r="N333"/>
    </row>
    <row r="334" spans="2:14" x14ac:dyDescent="0.25">
      <c r="B334"/>
      <c r="C334"/>
      <c r="D334"/>
      <c r="E334"/>
      <c r="F334"/>
      <c r="G334"/>
      <c r="H334"/>
      <c r="I334"/>
      <c r="J334"/>
      <c r="K334"/>
      <c r="L334"/>
      <c r="M334"/>
      <c r="N334"/>
    </row>
    <row r="335" spans="2:14" x14ac:dyDescent="0.25">
      <c r="B335"/>
      <c r="C335"/>
      <c r="D335"/>
      <c r="E335"/>
      <c r="F335"/>
      <c r="G335"/>
      <c r="H335"/>
      <c r="I335"/>
      <c r="J335"/>
      <c r="K335"/>
      <c r="L335"/>
      <c r="M335"/>
      <c r="N335"/>
    </row>
    <row r="336" spans="2:14" x14ac:dyDescent="0.25">
      <c r="B336"/>
      <c r="C336"/>
      <c r="D336"/>
      <c r="E336"/>
      <c r="F336"/>
      <c r="G336"/>
      <c r="H336"/>
      <c r="I336"/>
      <c r="J336"/>
      <c r="K336"/>
      <c r="L336"/>
      <c r="M336"/>
      <c r="N336"/>
    </row>
    <row r="337" spans="2:14" x14ac:dyDescent="0.25">
      <c r="B337"/>
      <c r="C337"/>
      <c r="D337"/>
      <c r="E337"/>
      <c r="F337"/>
      <c r="G337"/>
      <c r="H337"/>
      <c r="I337"/>
      <c r="J337"/>
      <c r="K337"/>
      <c r="L337"/>
      <c r="M337"/>
      <c r="N337"/>
    </row>
    <row r="338" spans="2:14" x14ac:dyDescent="0.25">
      <c r="B338"/>
      <c r="C338"/>
      <c r="D338"/>
      <c r="E338"/>
      <c r="F338"/>
      <c r="G338"/>
      <c r="H338"/>
      <c r="I338"/>
      <c r="J338"/>
      <c r="K338"/>
      <c r="L338"/>
      <c r="M338"/>
      <c r="N338"/>
    </row>
    <row r="339" spans="2:14" x14ac:dyDescent="0.25">
      <c r="B339"/>
      <c r="C339"/>
      <c r="D339"/>
      <c r="E339"/>
      <c r="F339"/>
      <c r="G339"/>
      <c r="H339"/>
      <c r="I339"/>
      <c r="J339"/>
      <c r="K339"/>
      <c r="L339"/>
      <c r="M339"/>
      <c r="N339"/>
    </row>
    <row r="340" spans="2:14" x14ac:dyDescent="0.25">
      <c r="B340"/>
      <c r="C340"/>
      <c r="D340"/>
      <c r="E340"/>
      <c r="F340"/>
      <c r="G340"/>
      <c r="H340"/>
      <c r="I340"/>
      <c r="J340"/>
      <c r="K340"/>
      <c r="L340"/>
      <c r="M340"/>
      <c r="N340"/>
    </row>
    <row r="341" spans="2:14" x14ac:dyDescent="0.25">
      <c r="B341"/>
      <c r="C341"/>
      <c r="D341"/>
      <c r="E341"/>
      <c r="F341"/>
      <c r="G341"/>
      <c r="H341"/>
      <c r="I341"/>
      <c r="J341"/>
      <c r="K341"/>
      <c r="L341"/>
      <c r="M341"/>
      <c r="N341"/>
    </row>
    <row r="342" spans="2:14" x14ac:dyDescent="0.25">
      <c r="B342"/>
      <c r="C342"/>
      <c r="D342"/>
      <c r="E342"/>
      <c r="F342"/>
      <c r="G342"/>
      <c r="H342"/>
      <c r="I342"/>
      <c r="J342"/>
      <c r="K342"/>
      <c r="L342"/>
      <c r="M342"/>
      <c r="N342"/>
    </row>
    <row r="343" spans="2:14" x14ac:dyDescent="0.25">
      <c r="B343"/>
      <c r="C343"/>
      <c r="D343"/>
      <c r="E343"/>
      <c r="F343"/>
      <c r="G343"/>
      <c r="H343"/>
      <c r="I343"/>
      <c r="J343"/>
      <c r="K343"/>
      <c r="L343"/>
      <c r="M343"/>
      <c r="N343"/>
    </row>
    <row r="344" spans="2:14" x14ac:dyDescent="0.25">
      <c r="B344"/>
      <c r="C344"/>
      <c r="D344"/>
      <c r="E344"/>
      <c r="F344"/>
      <c r="G344"/>
      <c r="H344"/>
      <c r="I344"/>
      <c r="J344"/>
      <c r="K344"/>
      <c r="L344"/>
      <c r="M344"/>
      <c r="N344"/>
    </row>
    <row r="345" spans="2:14" x14ac:dyDescent="0.25">
      <c r="B345"/>
      <c r="C345"/>
      <c r="D345"/>
      <c r="E345"/>
      <c r="F345"/>
      <c r="G345"/>
      <c r="H345"/>
      <c r="I345"/>
      <c r="J345"/>
      <c r="K345"/>
      <c r="L345"/>
      <c r="M345"/>
      <c r="N345"/>
    </row>
    <row r="346" spans="2:14" x14ac:dyDescent="0.25">
      <c r="B346"/>
      <c r="C346"/>
      <c r="D346"/>
      <c r="E346"/>
      <c r="F346"/>
      <c r="G346"/>
      <c r="H346"/>
      <c r="I346"/>
      <c r="J346"/>
      <c r="K346"/>
      <c r="L346"/>
      <c r="M346"/>
      <c r="N346"/>
    </row>
    <row r="347" spans="2:14" x14ac:dyDescent="0.25">
      <c r="B347"/>
      <c r="C347"/>
      <c r="D347"/>
      <c r="E347"/>
      <c r="F347"/>
      <c r="G347"/>
      <c r="H347"/>
      <c r="I347"/>
      <c r="J347"/>
      <c r="K347"/>
      <c r="L347"/>
      <c r="M347"/>
      <c r="N347"/>
    </row>
    <row r="348" spans="2:14" x14ac:dyDescent="0.25">
      <c r="B348"/>
      <c r="C348"/>
      <c r="D348"/>
      <c r="E348"/>
      <c r="F348"/>
      <c r="G348"/>
      <c r="H348"/>
      <c r="I348"/>
      <c r="J348"/>
      <c r="K348"/>
      <c r="L348"/>
      <c r="M348"/>
      <c r="N348"/>
    </row>
    <row r="349" spans="2:14" x14ac:dyDescent="0.25">
      <c r="B349"/>
      <c r="C349"/>
      <c r="D349"/>
      <c r="E349"/>
      <c r="F349"/>
      <c r="G349"/>
      <c r="H349"/>
      <c r="I349"/>
      <c r="J349"/>
      <c r="K349"/>
      <c r="L349"/>
      <c r="M349"/>
      <c r="N349"/>
    </row>
    <row r="350" spans="2:14" x14ac:dyDescent="0.25">
      <c r="B350"/>
      <c r="C350"/>
      <c r="D350"/>
      <c r="E350"/>
      <c r="F350"/>
      <c r="G350"/>
      <c r="H350"/>
      <c r="I350"/>
      <c r="J350"/>
      <c r="K350"/>
      <c r="L350"/>
      <c r="M350"/>
      <c r="N350"/>
    </row>
    <row r="351" spans="2:14" x14ac:dyDescent="0.25">
      <c r="B351"/>
      <c r="C351"/>
      <c r="D351"/>
      <c r="E351"/>
      <c r="F351"/>
      <c r="G351"/>
      <c r="H351"/>
      <c r="I351"/>
      <c r="J351"/>
      <c r="K351"/>
      <c r="L351"/>
      <c r="M351"/>
      <c r="N351"/>
    </row>
    <row r="352" spans="2:14" x14ac:dyDescent="0.25">
      <c r="B352"/>
      <c r="C352"/>
      <c r="D352"/>
      <c r="E352"/>
      <c r="F352"/>
      <c r="G352"/>
      <c r="H352"/>
      <c r="I352"/>
      <c r="J352"/>
      <c r="K352"/>
      <c r="L352"/>
      <c r="M352"/>
      <c r="N352"/>
    </row>
    <row r="353" spans="2:14" x14ac:dyDescent="0.25">
      <c r="B353"/>
      <c r="C353"/>
      <c r="D353"/>
      <c r="E353"/>
      <c r="F353"/>
      <c r="G353"/>
      <c r="H353"/>
      <c r="I353"/>
      <c r="J353"/>
      <c r="K353"/>
      <c r="L353"/>
      <c r="M353"/>
      <c r="N353"/>
    </row>
    <row r="354" spans="2:14" x14ac:dyDescent="0.25">
      <c r="B354"/>
      <c r="C354"/>
      <c r="D354"/>
      <c r="E354"/>
      <c r="F354"/>
      <c r="G354"/>
      <c r="H354"/>
      <c r="I354"/>
      <c r="J354"/>
      <c r="K354"/>
      <c r="L354"/>
      <c r="M354"/>
      <c r="N354"/>
    </row>
    <row r="355" spans="2:14" x14ac:dyDescent="0.25">
      <c r="B355"/>
      <c r="C355"/>
      <c r="D355"/>
      <c r="E355"/>
      <c r="F355"/>
      <c r="G355"/>
      <c r="H355"/>
      <c r="I355"/>
      <c r="J355"/>
      <c r="K355"/>
      <c r="L355"/>
      <c r="M355"/>
      <c r="N355"/>
    </row>
    <row r="356" spans="2:14" x14ac:dyDescent="0.25">
      <c r="B356"/>
      <c r="C356"/>
      <c r="D356"/>
      <c r="E356"/>
      <c r="F356"/>
      <c r="G356"/>
      <c r="H356"/>
      <c r="I356"/>
      <c r="J356"/>
      <c r="K356"/>
      <c r="L356"/>
      <c r="M356"/>
      <c r="N356"/>
    </row>
    <row r="357" spans="2:14" x14ac:dyDescent="0.25">
      <c r="B357"/>
      <c r="C357"/>
      <c r="D357"/>
      <c r="E357"/>
      <c r="F357"/>
      <c r="G357"/>
      <c r="H357"/>
      <c r="I357"/>
      <c r="J357"/>
      <c r="K357"/>
      <c r="L357"/>
      <c r="M357"/>
      <c r="N357"/>
    </row>
    <row r="358" spans="2:14" x14ac:dyDescent="0.25">
      <c r="B358"/>
      <c r="C358"/>
      <c r="D358"/>
      <c r="E358"/>
      <c r="F358"/>
      <c r="G358"/>
      <c r="H358"/>
      <c r="I358"/>
      <c r="J358"/>
      <c r="K358"/>
      <c r="L358"/>
      <c r="M358"/>
      <c r="N358"/>
    </row>
    <row r="359" spans="2:14" x14ac:dyDescent="0.25">
      <c r="B359"/>
      <c r="C359"/>
      <c r="D359"/>
      <c r="E359"/>
      <c r="F359"/>
      <c r="G359"/>
      <c r="H359"/>
      <c r="I359"/>
      <c r="J359"/>
      <c r="K359"/>
      <c r="L359"/>
      <c r="M359"/>
      <c r="N359"/>
    </row>
    <row r="360" spans="2:14" x14ac:dyDescent="0.25">
      <c r="B360"/>
      <c r="C360"/>
      <c r="D360"/>
      <c r="E360"/>
      <c r="F360"/>
      <c r="G360"/>
      <c r="H360"/>
      <c r="I360"/>
      <c r="J360"/>
      <c r="K360"/>
      <c r="L360"/>
      <c r="M360"/>
      <c r="N360"/>
    </row>
    <row r="361" spans="2:14" x14ac:dyDescent="0.25">
      <c r="B361"/>
      <c r="C361"/>
      <c r="D361"/>
      <c r="E361"/>
      <c r="F361"/>
      <c r="G361"/>
      <c r="H361"/>
      <c r="I361"/>
      <c r="J361"/>
      <c r="K361"/>
      <c r="L361"/>
      <c r="M361"/>
      <c r="N361"/>
    </row>
    <row r="362" spans="2:14" x14ac:dyDescent="0.25">
      <c r="B362"/>
      <c r="C362"/>
      <c r="D362"/>
      <c r="E362"/>
      <c r="F362"/>
      <c r="G362"/>
      <c r="H362"/>
      <c r="I362"/>
      <c r="J362"/>
      <c r="K362"/>
      <c r="L362"/>
      <c r="M362"/>
      <c r="N362"/>
    </row>
    <row r="363" spans="2:14" x14ac:dyDescent="0.25">
      <c r="B363"/>
      <c r="C363"/>
      <c r="D363"/>
      <c r="E363"/>
      <c r="F363"/>
      <c r="G363"/>
      <c r="H363"/>
      <c r="I363"/>
      <c r="J363"/>
      <c r="K363"/>
      <c r="L363"/>
      <c r="M363"/>
      <c r="N363"/>
    </row>
    <row r="364" spans="2:14" x14ac:dyDescent="0.25">
      <c r="B364"/>
      <c r="C364"/>
      <c r="D364"/>
      <c r="E364"/>
      <c r="F364"/>
      <c r="G364"/>
      <c r="H364"/>
      <c r="I364"/>
      <c r="J364"/>
      <c r="K364"/>
      <c r="L364"/>
      <c r="M364"/>
      <c r="N364"/>
    </row>
    <row r="365" spans="2:14" x14ac:dyDescent="0.25">
      <c r="B365"/>
      <c r="C365"/>
      <c r="D365"/>
      <c r="E365"/>
      <c r="F365"/>
      <c r="G365"/>
      <c r="H365"/>
      <c r="I365"/>
      <c r="J365"/>
      <c r="K365"/>
      <c r="L365"/>
      <c r="M365"/>
      <c r="N365"/>
    </row>
    <row r="366" spans="2:14" x14ac:dyDescent="0.25">
      <c r="B366"/>
      <c r="C366"/>
      <c r="D366"/>
      <c r="E366"/>
      <c r="F366"/>
      <c r="G366"/>
      <c r="H366"/>
      <c r="I366"/>
      <c r="J366"/>
      <c r="K366"/>
      <c r="L366"/>
      <c r="M366"/>
      <c r="N366"/>
    </row>
    <row r="367" spans="2:14" x14ac:dyDescent="0.25">
      <c r="B367"/>
      <c r="C367"/>
      <c r="D367"/>
      <c r="E367"/>
      <c r="F367"/>
      <c r="G367"/>
      <c r="H367"/>
      <c r="I367"/>
      <c r="J367"/>
      <c r="K367"/>
      <c r="L367"/>
      <c r="M367"/>
      <c r="N367"/>
    </row>
    <row r="368" spans="2:14" x14ac:dyDescent="0.25">
      <c r="B368"/>
      <c r="C368"/>
      <c r="D368"/>
      <c r="E368"/>
      <c r="F368"/>
      <c r="G368"/>
      <c r="H368"/>
      <c r="I368"/>
      <c r="J368"/>
      <c r="K368"/>
      <c r="L368"/>
      <c r="M368"/>
      <c r="N368"/>
    </row>
    <row r="369" spans="2:14" x14ac:dyDescent="0.25">
      <c r="B369"/>
      <c r="C369"/>
      <c r="D369"/>
      <c r="E369"/>
      <c r="F369"/>
      <c r="G369"/>
      <c r="H369"/>
      <c r="I369"/>
      <c r="J369"/>
      <c r="K369"/>
      <c r="L369"/>
      <c r="M369"/>
      <c r="N369"/>
    </row>
    <row r="370" spans="2:14" x14ac:dyDescent="0.25">
      <c r="B370"/>
      <c r="C370"/>
      <c r="D370"/>
      <c r="E370"/>
      <c r="F370"/>
      <c r="G370"/>
      <c r="H370"/>
      <c r="I370"/>
      <c r="J370"/>
      <c r="K370"/>
      <c r="L370"/>
      <c r="M370"/>
      <c r="N370"/>
    </row>
    <row r="371" spans="2:14" x14ac:dyDescent="0.25">
      <c r="B371"/>
      <c r="C371"/>
      <c r="D371"/>
      <c r="E371"/>
      <c r="F371"/>
      <c r="G371"/>
      <c r="H371"/>
      <c r="I371"/>
      <c r="J371"/>
      <c r="K371"/>
      <c r="L371"/>
      <c r="M371"/>
      <c r="N371"/>
    </row>
    <row r="372" spans="2:14" x14ac:dyDescent="0.25">
      <c r="B372"/>
      <c r="C372"/>
      <c r="D372"/>
      <c r="E372"/>
      <c r="F372"/>
      <c r="G372"/>
      <c r="H372"/>
      <c r="I372"/>
      <c r="J372"/>
      <c r="K372"/>
      <c r="L372"/>
      <c r="M372"/>
      <c r="N372"/>
    </row>
    <row r="373" spans="2:14" x14ac:dyDescent="0.25">
      <c r="B373"/>
      <c r="C373"/>
      <c r="D373"/>
      <c r="E373"/>
      <c r="F373"/>
      <c r="G373"/>
      <c r="H373"/>
      <c r="I373"/>
      <c r="J373"/>
      <c r="K373"/>
      <c r="L373"/>
      <c r="M373"/>
      <c r="N373"/>
    </row>
    <row r="374" spans="2:14" x14ac:dyDescent="0.25">
      <c r="B374"/>
      <c r="C374"/>
      <c r="D374"/>
      <c r="E374"/>
      <c r="F374"/>
      <c r="G374"/>
      <c r="H374"/>
      <c r="I374"/>
      <c r="J374"/>
      <c r="K374"/>
      <c r="L374"/>
      <c r="M374"/>
      <c r="N374"/>
    </row>
    <row r="375" spans="2:14" x14ac:dyDescent="0.25">
      <c r="B375"/>
      <c r="C375"/>
      <c r="D375"/>
      <c r="E375"/>
      <c r="F375"/>
      <c r="G375"/>
      <c r="H375"/>
      <c r="I375"/>
      <c r="J375"/>
      <c r="K375"/>
      <c r="L375"/>
      <c r="M375"/>
      <c r="N375"/>
    </row>
    <row r="376" spans="2:14" x14ac:dyDescent="0.25">
      <c r="B376"/>
      <c r="C376"/>
      <c r="D376"/>
      <c r="E376"/>
      <c r="F376"/>
      <c r="G376"/>
      <c r="H376"/>
      <c r="I376"/>
      <c r="J376"/>
      <c r="K376"/>
      <c r="L376"/>
      <c r="M376"/>
      <c r="N376"/>
    </row>
    <row r="377" spans="2:14" x14ac:dyDescent="0.25">
      <c r="B377"/>
      <c r="C377"/>
      <c r="D377"/>
      <c r="E377"/>
      <c r="F377"/>
      <c r="G377"/>
      <c r="H377"/>
      <c r="I377"/>
      <c r="J377"/>
      <c r="K377"/>
      <c r="L377"/>
      <c r="M377"/>
      <c r="N377"/>
    </row>
    <row r="378" spans="2:14" x14ac:dyDescent="0.25">
      <c r="B378"/>
      <c r="C378"/>
      <c r="D378"/>
      <c r="E378"/>
      <c r="F378"/>
      <c r="G378"/>
      <c r="H378"/>
      <c r="I378"/>
      <c r="J378"/>
      <c r="K378"/>
      <c r="L378"/>
      <c r="M378"/>
      <c r="N378"/>
    </row>
    <row r="379" spans="2:14" x14ac:dyDescent="0.25">
      <c r="B379"/>
      <c r="C379"/>
      <c r="D379"/>
      <c r="E379"/>
      <c r="F379"/>
      <c r="G379"/>
      <c r="H379"/>
      <c r="I379"/>
      <c r="J379"/>
      <c r="K379"/>
      <c r="L379"/>
      <c r="M379"/>
      <c r="N379"/>
    </row>
    <row r="380" spans="2:14" x14ac:dyDescent="0.25">
      <c r="B380"/>
      <c r="C380"/>
      <c r="D380"/>
      <c r="E380"/>
      <c r="F380"/>
      <c r="G380"/>
      <c r="H380"/>
      <c r="I380"/>
      <c r="J380"/>
      <c r="K380"/>
      <c r="L380"/>
      <c r="M380"/>
      <c r="N380"/>
    </row>
    <row r="381" spans="2:14" x14ac:dyDescent="0.25">
      <c r="B381"/>
      <c r="C381"/>
      <c r="D381"/>
      <c r="E381"/>
      <c r="F381"/>
      <c r="G381"/>
      <c r="H381"/>
      <c r="I381"/>
      <c r="J381"/>
      <c r="K381"/>
      <c r="L381"/>
      <c r="M381"/>
      <c r="N381"/>
    </row>
    <row r="382" spans="2:14" x14ac:dyDescent="0.25">
      <c r="B382"/>
      <c r="C382"/>
      <c r="D382"/>
      <c r="E382"/>
      <c r="F382"/>
      <c r="G382"/>
      <c r="H382"/>
      <c r="I382"/>
      <c r="J382"/>
      <c r="K382"/>
      <c r="L382"/>
      <c r="M382"/>
      <c r="N382"/>
    </row>
    <row r="383" spans="2:14" x14ac:dyDescent="0.25">
      <c r="B383"/>
      <c r="C383"/>
      <c r="D383"/>
      <c r="E383"/>
      <c r="F383"/>
      <c r="G383"/>
      <c r="H383"/>
      <c r="I383"/>
      <c r="J383"/>
      <c r="K383"/>
      <c r="L383"/>
      <c r="M383"/>
      <c r="N383"/>
    </row>
    <row r="384" spans="2:14" x14ac:dyDescent="0.25">
      <c r="B384"/>
      <c r="C384"/>
      <c r="D384"/>
      <c r="E384"/>
      <c r="F384"/>
      <c r="G384"/>
      <c r="H384"/>
      <c r="I384"/>
      <c r="J384"/>
      <c r="K384"/>
      <c r="L384"/>
      <c r="M384"/>
      <c r="N384"/>
    </row>
    <row r="385" spans="2:14" x14ac:dyDescent="0.25">
      <c r="B385"/>
      <c r="C385"/>
      <c r="D385"/>
      <c r="E385"/>
      <c r="F385"/>
      <c r="G385"/>
      <c r="H385"/>
      <c r="I385"/>
      <c r="J385"/>
      <c r="K385"/>
      <c r="L385"/>
      <c r="M385"/>
      <c r="N385"/>
    </row>
    <row r="386" spans="2:14" x14ac:dyDescent="0.25">
      <c r="B386"/>
      <c r="C386"/>
      <c r="D386"/>
      <c r="E386"/>
      <c r="F386"/>
      <c r="G386"/>
      <c r="H386"/>
      <c r="I386"/>
      <c r="J386"/>
      <c r="K386"/>
      <c r="L386"/>
      <c r="M386"/>
      <c r="N386"/>
    </row>
    <row r="387" spans="2:14" x14ac:dyDescent="0.25">
      <c r="B387"/>
      <c r="C387"/>
      <c r="D387"/>
      <c r="E387"/>
      <c r="F387"/>
      <c r="G387"/>
      <c r="H387"/>
      <c r="I387"/>
      <c r="J387"/>
      <c r="K387"/>
      <c r="L387"/>
      <c r="M387"/>
      <c r="N387"/>
    </row>
    <row r="388" spans="2:14" x14ac:dyDescent="0.25">
      <c r="B388"/>
      <c r="C388"/>
      <c r="D388"/>
      <c r="E388"/>
      <c r="F388"/>
      <c r="G388"/>
      <c r="H388"/>
      <c r="I388"/>
      <c r="J388"/>
      <c r="K388"/>
      <c r="L388"/>
      <c r="M388"/>
      <c r="N388"/>
    </row>
    <row r="389" spans="2:14" x14ac:dyDescent="0.25">
      <c r="B389"/>
      <c r="C389"/>
      <c r="D389"/>
      <c r="E389"/>
      <c r="F389"/>
      <c r="G389"/>
      <c r="H389"/>
      <c r="I389"/>
      <c r="J389"/>
      <c r="K389"/>
      <c r="L389"/>
      <c r="M389"/>
      <c r="N389"/>
    </row>
    <row r="390" spans="2:14" x14ac:dyDescent="0.25">
      <c r="B390"/>
      <c r="C390"/>
      <c r="D390"/>
      <c r="E390"/>
      <c r="F390"/>
      <c r="G390"/>
      <c r="H390"/>
      <c r="I390"/>
      <c r="J390"/>
      <c r="K390"/>
      <c r="L390"/>
      <c r="M390"/>
      <c r="N390"/>
    </row>
    <row r="391" spans="2:14" x14ac:dyDescent="0.25">
      <c r="B391"/>
      <c r="C391"/>
      <c r="D391"/>
      <c r="E391"/>
      <c r="F391"/>
      <c r="G391"/>
      <c r="H391"/>
      <c r="I391"/>
      <c r="J391"/>
      <c r="K391"/>
      <c r="L391"/>
      <c r="M391"/>
      <c r="N391"/>
    </row>
    <row r="392" spans="2:14" x14ac:dyDescent="0.25">
      <c r="B392"/>
      <c r="C392"/>
      <c r="D392"/>
      <c r="E392"/>
      <c r="F392"/>
      <c r="G392"/>
      <c r="H392"/>
      <c r="I392"/>
      <c r="J392"/>
      <c r="K392"/>
      <c r="L392"/>
      <c r="M392"/>
      <c r="N392"/>
    </row>
    <row r="393" spans="2:14" x14ac:dyDescent="0.25">
      <c r="B393"/>
      <c r="C393"/>
      <c r="D393"/>
      <c r="E393"/>
      <c r="F393"/>
      <c r="G393"/>
      <c r="H393"/>
      <c r="I393"/>
      <c r="J393"/>
      <c r="K393"/>
      <c r="L393"/>
      <c r="M393"/>
      <c r="N393"/>
    </row>
    <row r="394" spans="2:14" x14ac:dyDescent="0.25">
      <c r="B394"/>
      <c r="C394"/>
      <c r="D394"/>
      <c r="E394"/>
      <c r="F394"/>
      <c r="G394"/>
      <c r="H394"/>
      <c r="I394"/>
      <c r="J394"/>
      <c r="K394"/>
      <c r="L394"/>
      <c r="M394"/>
      <c r="N394"/>
    </row>
    <row r="395" spans="2:14" x14ac:dyDescent="0.25">
      <c r="B395"/>
      <c r="C395"/>
      <c r="D395"/>
      <c r="E395"/>
      <c r="F395"/>
      <c r="G395"/>
      <c r="H395"/>
      <c r="I395"/>
      <c r="J395"/>
      <c r="K395"/>
      <c r="L395"/>
      <c r="M395"/>
      <c r="N395"/>
    </row>
    <row r="396" spans="2:14" x14ac:dyDescent="0.25">
      <c r="B396"/>
      <c r="C396"/>
      <c r="D396"/>
      <c r="E396"/>
      <c r="F396"/>
      <c r="G396"/>
      <c r="H396"/>
      <c r="I396"/>
      <c r="J396"/>
      <c r="K396"/>
      <c r="L396"/>
      <c r="M396"/>
      <c r="N396"/>
    </row>
    <row r="397" spans="2:14" x14ac:dyDescent="0.25">
      <c r="B397"/>
      <c r="C397"/>
      <c r="D397"/>
      <c r="E397"/>
      <c r="F397"/>
      <c r="G397"/>
      <c r="H397"/>
      <c r="I397"/>
      <c r="J397"/>
      <c r="K397"/>
      <c r="L397"/>
      <c r="M397"/>
      <c r="N397"/>
    </row>
    <row r="398" spans="2:14" x14ac:dyDescent="0.25">
      <c r="B398"/>
      <c r="C398"/>
      <c r="D398"/>
      <c r="E398"/>
      <c r="F398"/>
      <c r="G398"/>
      <c r="H398"/>
      <c r="I398"/>
      <c r="J398"/>
      <c r="K398"/>
      <c r="L398"/>
      <c r="M398"/>
      <c r="N398"/>
    </row>
    <row r="399" spans="2:14" x14ac:dyDescent="0.25">
      <c r="B399"/>
      <c r="C399"/>
      <c r="D399"/>
      <c r="E399"/>
      <c r="F399"/>
      <c r="G399"/>
      <c r="H399"/>
      <c r="I399"/>
      <c r="J399"/>
      <c r="K399"/>
      <c r="L399"/>
      <c r="M399"/>
      <c r="N399"/>
    </row>
    <row r="400" spans="2:14" x14ac:dyDescent="0.25">
      <c r="B400"/>
      <c r="C400"/>
      <c r="D400"/>
      <c r="E400"/>
      <c r="F400"/>
      <c r="G400"/>
      <c r="H400"/>
      <c r="I400"/>
      <c r="J400"/>
      <c r="K400"/>
      <c r="L400"/>
      <c r="M400"/>
      <c r="N400"/>
    </row>
    <row r="401" spans="2:14" x14ac:dyDescent="0.25">
      <c r="B401"/>
      <c r="C401"/>
      <c r="D401"/>
      <c r="E401"/>
      <c r="F401"/>
      <c r="G401"/>
      <c r="H401"/>
      <c r="I401"/>
      <c r="J401"/>
      <c r="K401"/>
      <c r="L401"/>
      <c r="M401"/>
      <c r="N401"/>
    </row>
    <row r="402" spans="2:14" x14ac:dyDescent="0.25">
      <c r="B402"/>
      <c r="C402"/>
      <c r="D402"/>
      <c r="E402"/>
      <c r="F402"/>
      <c r="G402"/>
      <c r="H402"/>
      <c r="I402"/>
      <c r="J402"/>
      <c r="K402"/>
      <c r="L402"/>
      <c r="M402"/>
      <c r="N402"/>
    </row>
    <row r="403" spans="2:14" x14ac:dyDescent="0.25">
      <c r="B403"/>
      <c r="C403"/>
      <c r="D403"/>
      <c r="E403"/>
      <c r="F403"/>
      <c r="G403"/>
      <c r="H403"/>
      <c r="I403"/>
      <c r="J403"/>
      <c r="K403"/>
      <c r="L403"/>
      <c r="M403"/>
      <c r="N403"/>
    </row>
    <row r="404" spans="2:14" x14ac:dyDescent="0.25">
      <c r="B404"/>
      <c r="C404"/>
      <c r="D404"/>
      <c r="E404"/>
      <c r="F404"/>
      <c r="G404"/>
      <c r="H404"/>
      <c r="I404"/>
      <c r="J404"/>
      <c r="K404"/>
      <c r="L404"/>
      <c r="M404"/>
      <c r="N404"/>
    </row>
    <row r="405" spans="2:14" x14ac:dyDescent="0.25">
      <c r="B405"/>
      <c r="C405"/>
      <c r="D405"/>
      <c r="E405"/>
      <c r="F405"/>
      <c r="G405"/>
      <c r="H405"/>
      <c r="I405"/>
      <c r="J405"/>
      <c r="K405"/>
      <c r="L405"/>
      <c r="M405"/>
      <c r="N405"/>
    </row>
    <row r="406" spans="2:14" x14ac:dyDescent="0.25">
      <c r="B406"/>
      <c r="C406"/>
      <c r="D406"/>
      <c r="E406"/>
      <c r="F406"/>
      <c r="G406"/>
      <c r="H406"/>
      <c r="I406"/>
      <c r="J406"/>
      <c r="K406"/>
      <c r="L406"/>
      <c r="M406"/>
      <c r="N406"/>
    </row>
    <row r="407" spans="2:14" x14ac:dyDescent="0.25">
      <c r="B407"/>
      <c r="C407"/>
      <c r="D407"/>
      <c r="E407"/>
      <c r="F407"/>
      <c r="G407"/>
      <c r="H407"/>
      <c r="I407"/>
      <c r="J407"/>
      <c r="K407"/>
      <c r="L407"/>
      <c r="M407"/>
      <c r="N407"/>
    </row>
    <row r="408" spans="2:14" x14ac:dyDescent="0.25">
      <c r="B408"/>
      <c r="C408"/>
      <c r="D408"/>
      <c r="E408"/>
      <c r="F408"/>
      <c r="G408"/>
      <c r="H408"/>
      <c r="I408"/>
      <c r="J408"/>
      <c r="K408"/>
      <c r="L408"/>
      <c r="M408"/>
      <c r="N408"/>
    </row>
    <row r="409" spans="2:14" x14ac:dyDescent="0.25">
      <c r="B409"/>
      <c r="C409"/>
      <c r="D409"/>
      <c r="E409"/>
      <c r="F409"/>
      <c r="G409"/>
      <c r="H409"/>
      <c r="I409"/>
      <c r="J409"/>
      <c r="K409"/>
      <c r="L409"/>
      <c r="M409"/>
      <c r="N409"/>
    </row>
    <row r="410" spans="2:14" x14ac:dyDescent="0.25">
      <c r="B410"/>
      <c r="C410"/>
      <c r="D410"/>
      <c r="E410"/>
      <c r="F410"/>
      <c r="G410"/>
      <c r="H410"/>
      <c r="I410"/>
      <c r="J410"/>
      <c r="K410"/>
      <c r="L410"/>
      <c r="M410"/>
      <c r="N410"/>
    </row>
    <row r="411" spans="2:14" x14ac:dyDescent="0.25">
      <c r="B411"/>
      <c r="C411"/>
      <c r="D411"/>
      <c r="E411"/>
      <c r="F411"/>
      <c r="G411"/>
      <c r="H411"/>
      <c r="I411"/>
      <c r="J411"/>
      <c r="K411"/>
      <c r="L411"/>
      <c r="M411"/>
      <c r="N411"/>
    </row>
    <row r="412" spans="2:14" x14ac:dyDescent="0.25">
      <c r="B412"/>
      <c r="C412"/>
      <c r="D412"/>
      <c r="E412"/>
      <c r="F412"/>
      <c r="G412"/>
      <c r="H412"/>
      <c r="I412"/>
      <c r="J412"/>
      <c r="K412"/>
      <c r="L412"/>
      <c r="M412"/>
      <c r="N412"/>
    </row>
    <row r="413" spans="2:14" x14ac:dyDescent="0.25">
      <c r="B413"/>
      <c r="C413"/>
      <c r="D413"/>
      <c r="E413"/>
      <c r="F413"/>
      <c r="G413"/>
      <c r="H413"/>
      <c r="I413"/>
      <c r="J413"/>
      <c r="K413"/>
      <c r="L413"/>
      <c r="M413"/>
      <c r="N413"/>
    </row>
    <row r="414" spans="2:14" x14ac:dyDescent="0.25">
      <c r="B414"/>
      <c r="C414"/>
      <c r="D414"/>
      <c r="E414"/>
      <c r="F414"/>
      <c r="G414"/>
      <c r="H414"/>
      <c r="I414"/>
      <c r="J414"/>
      <c r="K414"/>
      <c r="L414"/>
      <c r="M414"/>
      <c r="N414"/>
    </row>
    <row r="415" spans="2:14" x14ac:dyDescent="0.25">
      <c r="B415"/>
      <c r="C415"/>
      <c r="D415"/>
      <c r="E415"/>
      <c r="F415"/>
      <c r="G415"/>
      <c r="H415"/>
      <c r="I415"/>
      <c r="J415"/>
      <c r="K415"/>
      <c r="L415"/>
      <c r="M415"/>
      <c r="N415"/>
    </row>
    <row r="416" spans="2:14" x14ac:dyDescent="0.25">
      <c r="B416"/>
      <c r="C416"/>
      <c r="D416"/>
      <c r="E416"/>
      <c r="F416"/>
      <c r="G416"/>
      <c r="H416"/>
      <c r="I416"/>
      <c r="J416"/>
      <c r="K416"/>
      <c r="L416"/>
      <c r="M416"/>
      <c r="N416"/>
    </row>
    <row r="417" spans="2:14" x14ac:dyDescent="0.25">
      <c r="B417"/>
      <c r="C417"/>
      <c r="D417"/>
      <c r="E417"/>
      <c r="F417"/>
      <c r="G417"/>
      <c r="H417"/>
      <c r="I417"/>
      <c r="J417"/>
      <c r="K417"/>
      <c r="L417"/>
      <c r="M417"/>
      <c r="N417"/>
    </row>
    <row r="418" spans="2:14" x14ac:dyDescent="0.25">
      <c r="B418"/>
      <c r="C418"/>
      <c r="D418"/>
      <c r="E418"/>
      <c r="F418"/>
      <c r="G418"/>
      <c r="H418"/>
      <c r="I418"/>
      <c r="J418"/>
      <c r="K418"/>
      <c r="L418"/>
      <c r="M418"/>
      <c r="N418"/>
    </row>
    <row r="419" spans="2:14" x14ac:dyDescent="0.25">
      <c r="B419"/>
      <c r="C419"/>
      <c r="D419"/>
      <c r="E419"/>
      <c r="F419"/>
      <c r="G419"/>
      <c r="H419"/>
      <c r="I419"/>
      <c r="J419"/>
      <c r="K419"/>
      <c r="L419"/>
      <c r="M419"/>
      <c r="N419"/>
    </row>
    <row r="420" spans="2:14" x14ac:dyDescent="0.25">
      <c r="B420"/>
      <c r="C420"/>
      <c r="D420"/>
      <c r="E420"/>
      <c r="F420"/>
      <c r="G420"/>
      <c r="H420"/>
      <c r="I420"/>
      <c r="J420"/>
      <c r="K420"/>
      <c r="L420"/>
      <c r="M420"/>
      <c r="N420"/>
    </row>
    <row r="421" spans="2:14" x14ac:dyDescent="0.25">
      <c r="B421"/>
      <c r="C421"/>
      <c r="D421"/>
      <c r="E421"/>
      <c r="F421"/>
      <c r="G421"/>
      <c r="H421"/>
      <c r="I421"/>
      <c r="J421"/>
      <c r="K421"/>
      <c r="L421"/>
      <c r="M421"/>
      <c r="N421"/>
    </row>
    <row r="422" spans="2:14" x14ac:dyDescent="0.25">
      <c r="B422"/>
      <c r="C422"/>
      <c r="D422"/>
      <c r="E422"/>
      <c r="F422"/>
      <c r="G422"/>
      <c r="H422"/>
      <c r="I422"/>
      <c r="J422"/>
      <c r="K422"/>
      <c r="L422"/>
      <c r="M422"/>
      <c r="N422"/>
    </row>
    <row r="423" spans="2:14" x14ac:dyDescent="0.25">
      <c r="B423"/>
      <c r="C423"/>
      <c r="D423"/>
      <c r="E423"/>
      <c r="F423"/>
      <c r="G423"/>
      <c r="H423"/>
      <c r="I423"/>
      <c r="J423"/>
      <c r="K423"/>
      <c r="L423"/>
      <c r="M423"/>
      <c r="N423"/>
    </row>
    <row r="424" spans="2:14" x14ac:dyDescent="0.25">
      <c r="B424"/>
      <c r="C424"/>
      <c r="D424"/>
      <c r="E424"/>
      <c r="F424"/>
      <c r="G424"/>
      <c r="H424"/>
      <c r="I424"/>
      <c r="J424"/>
      <c r="K424"/>
      <c r="L424"/>
      <c r="M424"/>
      <c r="N424"/>
    </row>
    <row r="425" spans="2:14" x14ac:dyDescent="0.25">
      <c r="B425"/>
      <c r="C425"/>
      <c r="D425"/>
      <c r="E425"/>
      <c r="F425"/>
      <c r="G425"/>
      <c r="H425"/>
      <c r="I425"/>
      <c r="J425"/>
      <c r="K425"/>
      <c r="L425"/>
      <c r="M425"/>
      <c r="N425"/>
    </row>
    <row r="426" spans="2:14" x14ac:dyDescent="0.25">
      <c r="B426"/>
      <c r="C426"/>
      <c r="D426"/>
      <c r="E426"/>
      <c r="F426"/>
      <c r="G426"/>
      <c r="H426"/>
      <c r="I426"/>
      <c r="J426"/>
      <c r="K426"/>
      <c r="L426"/>
      <c r="M426"/>
      <c r="N426"/>
    </row>
    <row r="427" spans="2:14" x14ac:dyDescent="0.25">
      <c r="B427"/>
      <c r="C427"/>
      <c r="D427"/>
      <c r="E427"/>
      <c r="F427"/>
      <c r="G427"/>
      <c r="H427"/>
      <c r="I427"/>
      <c r="J427"/>
      <c r="K427"/>
      <c r="L427"/>
      <c r="M427"/>
      <c r="N427"/>
    </row>
    <row r="428" spans="2:14" x14ac:dyDescent="0.25">
      <c r="B428"/>
      <c r="C428"/>
      <c r="D428"/>
      <c r="E428"/>
      <c r="F428"/>
      <c r="G428"/>
      <c r="H428"/>
      <c r="I428"/>
      <c r="J428"/>
      <c r="K428"/>
      <c r="L428"/>
      <c r="M428"/>
      <c r="N428"/>
    </row>
    <row r="429" spans="2:14" x14ac:dyDescent="0.25">
      <c r="B429"/>
      <c r="C429"/>
      <c r="D429"/>
      <c r="E429"/>
      <c r="F429"/>
      <c r="G429"/>
      <c r="H429"/>
      <c r="I429"/>
      <c r="J429"/>
      <c r="K429"/>
      <c r="L429"/>
      <c r="M429"/>
      <c r="N429"/>
    </row>
    <row r="430" spans="2:14" x14ac:dyDescent="0.25">
      <c r="B430"/>
      <c r="C430"/>
      <c r="D430"/>
      <c r="E430"/>
      <c r="F430"/>
      <c r="G430"/>
      <c r="H430"/>
      <c r="I430"/>
      <c r="J430"/>
      <c r="K430"/>
      <c r="L430"/>
      <c r="M430"/>
      <c r="N430"/>
    </row>
    <row r="431" spans="2:14" x14ac:dyDescent="0.25">
      <c r="B431"/>
      <c r="C431"/>
      <c r="D431"/>
      <c r="E431"/>
      <c r="F431"/>
      <c r="G431"/>
      <c r="H431"/>
      <c r="I431"/>
      <c r="J431"/>
      <c r="K431"/>
      <c r="L431"/>
      <c r="M431"/>
      <c r="N431"/>
    </row>
    <row r="432" spans="2:14" x14ac:dyDescent="0.25">
      <c r="B432"/>
      <c r="C432"/>
      <c r="D432"/>
      <c r="E432"/>
      <c r="F432"/>
      <c r="G432"/>
      <c r="H432"/>
      <c r="I432"/>
      <c r="J432"/>
      <c r="K432"/>
      <c r="L432"/>
      <c r="M432"/>
      <c r="N432"/>
    </row>
    <row r="433" spans="2:14" x14ac:dyDescent="0.25">
      <c r="B433"/>
      <c r="C433"/>
      <c r="D433"/>
      <c r="E433"/>
      <c r="F433"/>
      <c r="G433"/>
      <c r="H433"/>
      <c r="I433"/>
      <c r="J433"/>
      <c r="K433"/>
      <c r="L433"/>
      <c r="M433"/>
      <c r="N433"/>
    </row>
    <row r="434" spans="2:14" x14ac:dyDescent="0.25">
      <c r="B434"/>
      <c r="C434"/>
      <c r="D434"/>
      <c r="E434"/>
      <c r="F434"/>
      <c r="G434"/>
      <c r="H434"/>
      <c r="I434"/>
      <c r="J434"/>
      <c r="K434"/>
      <c r="L434"/>
      <c r="M434"/>
      <c r="N434"/>
    </row>
    <row r="435" spans="2:14" x14ac:dyDescent="0.25">
      <c r="B435"/>
      <c r="C435"/>
      <c r="D435"/>
      <c r="E435"/>
      <c r="F435"/>
      <c r="G435"/>
      <c r="H435"/>
      <c r="I435"/>
      <c r="J435"/>
      <c r="K435"/>
      <c r="L435"/>
      <c r="M435"/>
      <c r="N435"/>
    </row>
    <row r="436" spans="2:14" x14ac:dyDescent="0.25">
      <c r="B436"/>
      <c r="C436"/>
      <c r="D436"/>
      <c r="E436"/>
      <c r="F436"/>
      <c r="G436"/>
      <c r="H436"/>
      <c r="I436"/>
      <c r="J436"/>
      <c r="K436"/>
      <c r="L436"/>
      <c r="M436"/>
      <c r="N436"/>
    </row>
    <row r="437" spans="2:14" x14ac:dyDescent="0.25">
      <c r="B437"/>
      <c r="C437"/>
      <c r="D437"/>
      <c r="E437"/>
      <c r="F437"/>
      <c r="G437"/>
      <c r="H437"/>
      <c r="I437"/>
      <c r="J437"/>
      <c r="K437"/>
      <c r="L437"/>
      <c r="M437"/>
      <c r="N437"/>
    </row>
    <row r="438" spans="2:14" x14ac:dyDescent="0.25">
      <c r="B438"/>
      <c r="C438"/>
      <c r="D438"/>
      <c r="E438"/>
      <c r="F438"/>
      <c r="G438"/>
      <c r="H438"/>
      <c r="I438"/>
      <c r="J438"/>
      <c r="K438"/>
      <c r="L438"/>
      <c r="M438"/>
      <c r="N438"/>
    </row>
    <row r="439" spans="2:14" x14ac:dyDescent="0.25">
      <c r="B439"/>
      <c r="C439"/>
      <c r="D439"/>
      <c r="E439"/>
      <c r="F439"/>
      <c r="G439"/>
      <c r="H439"/>
      <c r="I439"/>
      <c r="J439"/>
      <c r="K439"/>
      <c r="L439"/>
      <c r="M439"/>
      <c r="N439"/>
    </row>
    <row r="440" spans="2:14" x14ac:dyDescent="0.25">
      <c r="B440"/>
      <c r="C440"/>
      <c r="D440"/>
      <c r="E440"/>
      <c r="F440"/>
      <c r="G440"/>
      <c r="H440"/>
      <c r="I440"/>
      <c r="J440"/>
      <c r="K440"/>
      <c r="L440"/>
      <c r="M440"/>
      <c r="N440"/>
    </row>
    <row r="441" spans="2:14" x14ac:dyDescent="0.25">
      <c r="B441"/>
      <c r="C441"/>
      <c r="D441"/>
      <c r="E441"/>
      <c r="F441"/>
      <c r="G441"/>
      <c r="H441"/>
      <c r="I441"/>
      <c r="J441"/>
      <c r="K441"/>
      <c r="L441"/>
      <c r="M441"/>
      <c r="N441"/>
    </row>
    <row r="442" spans="2:14" x14ac:dyDescent="0.25">
      <c r="B442"/>
      <c r="C442"/>
      <c r="D442"/>
      <c r="E442"/>
      <c r="F442"/>
      <c r="G442"/>
      <c r="H442"/>
      <c r="I442"/>
      <c r="J442"/>
      <c r="K442"/>
      <c r="L442"/>
      <c r="M442"/>
      <c r="N442"/>
    </row>
    <row r="443" spans="2:14" x14ac:dyDescent="0.25">
      <c r="B443"/>
      <c r="C443"/>
      <c r="D443"/>
      <c r="E443"/>
      <c r="F443"/>
      <c r="G443"/>
      <c r="H443"/>
      <c r="I443"/>
      <c r="J443"/>
      <c r="K443"/>
      <c r="L443"/>
      <c r="M443"/>
      <c r="N443"/>
    </row>
    <row r="444" spans="2:14" x14ac:dyDescent="0.25">
      <c r="B444"/>
      <c r="C444"/>
      <c r="D444"/>
      <c r="E444"/>
      <c r="F444"/>
      <c r="G444"/>
      <c r="H444"/>
      <c r="I444"/>
      <c r="J444"/>
      <c r="K444"/>
      <c r="L444"/>
      <c r="M444"/>
      <c r="N444"/>
    </row>
    <row r="445" spans="2:14" x14ac:dyDescent="0.25">
      <c r="B445"/>
      <c r="C445"/>
      <c r="D445"/>
      <c r="E445"/>
      <c r="F445"/>
      <c r="G445"/>
      <c r="H445"/>
      <c r="I445"/>
      <c r="J445"/>
      <c r="K445"/>
      <c r="L445"/>
      <c r="M445"/>
      <c r="N445"/>
    </row>
    <row r="446" spans="2:14" x14ac:dyDescent="0.25">
      <c r="B446"/>
      <c r="C446"/>
      <c r="D446"/>
      <c r="E446"/>
      <c r="F446"/>
      <c r="G446"/>
      <c r="H446"/>
      <c r="I446"/>
      <c r="J446"/>
      <c r="K446"/>
      <c r="L446"/>
      <c r="M446"/>
      <c r="N446"/>
    </row>
    <row r="447" spans="2:14" x14ac:dyDescent="0.25">
      <c r="B447"/>
      <c r="C447"/>
      <c r="D447"/>
      <c r="E447"/>
      <c r="F447"/>
      <c r="G447"/>
      <c r="H447"/>
      <c r="I447"/>
      <c r="J447"/>
      <c r="K447"/>
      <c r="L447"/>
      <c r="M447"/>
      <c r="N447"/>
    </row>
    <row r="448" spans="2:14" x14ac:dyDescent="0.25">
      <c r="B448"/>
      <c r="C448"/>
      <c r="D448"/>
      <c r="E448"/>
      <c r="F448"/>
      <c r="G448"/>
      <c r="H448"/>
      <c r="I448"/>
      <c r="J448"/>
      <c r="K448"/>
      <c r="L448"/>
      <c r="M448"/>
      <c r="N448"/>
    </row>
    <row r="449" spans="2:14" x14ac:dyDescent="0.25">
      <c r="B449"/>
      <c r="C449"/>
      <c r="D449"/>
      <c r="E449"/>
      <c r="F449"/>
      <c r="G449"/>
      <c r="H449"/>
      <c r="I449"/>
      <c r="J449"/>
      <c r="K449"/>
      <c r="L449"/>
      <c r="M449"/>
      <c r="N449"/>
    </row>
    <row r="450" spans="2:14" x14ac:dyDescent="0.25">
      <c r="B450"/>
      <c r="C450"/>
      <c r="D450"/>
      <c r="E450"/>
      <c r="F450"/>
      <c r="G450"/>
      <c r="H450"/>
      <c r="I450"/>
      <c r="J450"/>
      <c r="K450"/>
      <c r="L450"/>
      <c r="M450"/>
      <c r="N450"/>
    </row>
    <row r="451" spans="2:14" x14ac:dyDescent="0.25">
      <c r="B451"/>
      <c r="C451"/>
      <c r="D451"/>
      <c r="E451"/>
      <c r="F451"/>
      <c r="G451"/>
      <c r="H451"/>
      <c r="I451"/>
      <c r="J451"/>
      <c r="K451"/>
      <c r="L451"/>
      <c r="M451"/>
      <c r="N451"/>
    </row>
    <row r="452" spans="2:14" x14ac:dyDescent="0.25">
      <c r="B452"/>
      <c r="C452"/>
      <c r="D452"/>
      <c r="E452"/>
      <c r="F452"/>
      <c r="G452"/>
      <c r="H452"/>
      <c r="I452"/>
      <c r="J452"/>
      <c r="K452"/>
      <c r="L452"/>
      <c r="M452"/>
      <c r="N452"/>
    </row>
    <row r="453" spans="2:14" x14ac:dyDescent="0.25">
      <c r="B453"/>
      <c r="C453"/>
      <c r="D453"/>
      <c r="E453"/>
      <c r="F453"/>
      <c r="G453"/>
      <c r="H453"/>
      <c r="I453"/>
      <c r="J453"/>
      <c r="K453"/>
      <c r="L453"/>
      <c r="M453"/>
      <c r="N453"/>
    </row>
    <row r="454" spans="2:14" x14ac:dyDescent="0.25">
      <c r="B454"/>
      <c r="C454"/>
      <c r="D454"/>
      <c r="E454"/>
      <c r="F454"/>
      <c r="G454"/>
      <c r="H454"/>
      <c r="I454"/>
      <c r="J454"/>
      <c r="K454"/>
      <c r="L454"/>
      <c r="M454"/>
      <c r="N454"/>
    </row>
    <row r="455" spans="2:14" x14ac:dyDescent="0.25">
      <c r="B455"/>
      <c r="C455"/>
      <c r="D455"/>
      <c r="E455"/>
      <c r="F455"/>
      <c r="G455"/>
      <c r="H455"/>
      <c r="I455"/>
      <c r="J455"/>
      <c r="K455"/>
      <c r="L455"/>
      <c r="M455"/>
      <c r="N455"/>
    </row>
    <row r="456" spans="2:14" x14ac:dyDescent="0.25">
      <c r="B456"/>
      <c r="C456"/>
      <c r="D456"/>
      <c r="E456"/>
      <c r="F456"/>
      <c r="G456"/>
      <c r="H456"/>
      <c r="I456"/>
      <c r="J456"/>
      <c r="K456"/>
      <c r="L456"/>
      <c r="M456"/>
      <c r="N456"/>
    </row>
    <row r="457" spans="2:14" x14ac:dyDescent="0.25">
      <c r="B457"/>
      <c r="C457"/>
      <c r="D457"/>
      <c r="E457"/>
      <c r="F457"/>
      <c r="G457"/>
      <c r="H457"/>
      <c r="I457"/>
      <c r="J457"/>
      <c r="K457"/>
      <c r="L457"/>
      <c r="M457"/>
      <c r="N457"/>
    </row>
    <row r="458" spans="2:14" x14ac:dyDescent="0.25">
      <c r="B458"/>
      <c r="C458"/>
      <c r="D458"/>
      <c r="E458"/>
      <c r="F458"/>
      <c r="G458"/>
      <c r="H458"/>
      <c r="I458"/>
      <c r="J458"/>
      <c r="K458"/>
      <c r="L458"/>
      <c r="M458"/>
      <c r="N458"/>
    </row>
    <row r="459" spans="2:14" x14ac:dyDescent="0.25">
      <c r="B459"/>
      <c r="C459"/>
      <c r="D459"/>
      <c r="E459"/>
      <c r="F459"/>
      <c r="G459"/>
      <c r="H459"/>
      <c r="I459"/>
      <c r="J459"/>
      <c r="K459"/>
      <c r="L459"/>
      <c r="M459"/>
      <c r="N459"/>
    </row>
    <row r="460" spans="2:14" x14ac:dyDescent="0.25">
      <c r="B460"/>
      <c r="C460"/>
      <c r="D460"/>
      <c r="E460"/>
      <c r="F460"/>
      <c r="G460"/>
      <c r="H460"/>
      <c r="I460"/>
      <c r="J460"/>
      <c r="K460"/>
      <c r="L460"/>
      <c r="M460"/>
      <c r="N460"/>
    </row>
    <row r="461" spans="2:14" x14ac:dyDescent="0.25">
      <c r="B461"/>
      <c r="C461"/>
      <c r="D461"/>
      <c r="E461"/>
      <c r="F461"/>
      <c r="G461"/>
      <c r="H461"/>
      <c r="I461"/>
      <c r="J461"/>
      <c r="K461"/>
      <c r="L461"/>
      <c r="M461"/>
      <c r="N461"/>
    </row>
    <row r="462" spans="2:14" x14ac:dyDescent="0.25">
      <c r="B462"/>
      <c r="C462"/>
      <c r="D462"/>
      <c r="E462"/>
      <c r="F462"/>
      <c r="G462"/>
      <c r="H462"/>
      <c r="I462"/>
      <c r="J462"/>
      <c r="K462"/>
      <c r="L462"/>
      <c r="M462"/>
      <c r="N462"/>
    </row>
    <row r="463" spans="2:14" x14ac:dyDescent="0.25">
      <c r="B463"/>
      <c r="C463"/>
      <c r="D463"/>
      <c r="E463"/>
      <c r="F463"/>
      <c r="G463"/>
      <c r="H463"/>
      <c r="I463"/>
      <c r="J463"/>
      <c r="K463"/>
      <c r="L463"/>
      <c r="M463"/>
      <c r="N463"/>
    </row>
    <row r="464" spans="2:14" x14ac:dyDescent="0.25">
      <c r="B464"/>
      <c r="C464"/>
      <c r="D464"/>
      <c r="E464"/>
      <c r="F464"/>
      <c r="G464"/>
      <c r="H464"/>
      <c r="I464"/>
      <c r="J464"/>
      <c r="K464"/>
      <c r="L464"/>
      <c r="M464"/>
      <c r="N464"/>
    </row>
    <row r="465" spans="2:14" x14ac:dyDescent="0.25">
      <c r="B465"/>
      <c r="C465"/>
      <c r="D465"/>
      <c r="E465"/>
      <c r="F465"/>
      <c r="G465"/>
      <c r="H465"/>
      <c r="I465"/>
      <c r="J465"/>
      <c r="K465"/>
      <c r="L465"/>
      <c r="M465"/>
      <c r="N465"/>
    </row>
    <row r="466" spans="2:14" x14ac:dyDescent="0.25">
      <c r="B466"/>
      <c r="C466"/>
      <c r="D466"/>
      <c r="E466"/>
      <c r="F466"/>
      <c r="G466"/>
      <c r="H466"/>
      <c r="I466"/>
      <c r="J466"/>
      <c r="K466"/>
      <c r="L466"/>
      <c r="M466"/>
      <c r="N466"/>
    </row>
    <row r="467" spans="2:14" x14ac:dyDescent="0.25">
      <c r="B467"/>
      <c r="C467"/>
      <c r="D467"/>
      <c r="E467"/>
      <c r="F467"/>
      <c r="G467"/>
      <c r="H467"/>
      <c r="I467"/>
      <c r="J467"/>
      <c r="K467"/>
      <c r="L467"/>
      <c r="M467"/>
      <c r="N467"/>
    </row>
    <row r="468" spans="2:14" x14ac:dyDescent="0.25">
      <c r="B468"/>
      <c r="C468"/>
      <c r="D468"/>
      <c r="E468"/>
      <c r="F468"/>
      <c r="G468"/>
      <c r="H468"/>
      <c r="I468"/>
      <c r="J468"/>
      <c r="K468"/>
      <c r="L468"/>
      <c r="M468"/>
      <c r="N468"/>
    </row>
    <row r="469" spans="2:14" x14ac:dyDescent="0.25">
      <c r="B469"/>
      <c r="C469"/>
      <c r="D469"/>
      <c r="E469"/>
      <c r="F469"/>
      <c r="G469"/>
      <c r="H469"/>
      <c r="I469"/>
      <c r="J469"/>
      <c r="K469"/>
      <c r="L469"/>
      <c r="M469"/>
      <c r="N469"/>
    </row>
    <row r="470" spans="2:14" x14ac:dyDescent="0.25">
      <c r="B470"/>
      <c r="C470"/>
      <c r="D470"/>
      <c r="E470"/>
      <c r="F470"/>
      <c r="G470"/>
      <c r="H470"/>
      <c r="I470"/>
      <c r="J470"/>
      <c r="K470"/>
      <c r="L470"/>
      <c r="M470"/>
      <c r="N470"/>
    </row>
    <row r="471" spans="2:14" x14ac:dyDescent="0.25">
      <c r="B471"/>
      <c r="C471"/>
      <c r="D471"/>
      <c r="E471"/>
      <c r="F471"/>
      <c r="G471"/>
      <c r="H471"/>
      <c r="I471"/>
      <c r="J471"/>
      <c r="K471"/>
      <c r="L471"/>
      <c r="M471"/>
      <c r="N471"/>
    </row>
    <row r="472" spans="2:14" x14ac:dyDescent="0.25">
      <c r="B472"/>
      <c r="C472"/>
      <c r="D472"/>
      <c r="E472"/>
      <c r="F472"/>
      <c r="G472"/>
      <c r="H472"/>
      <c r="I472"/>
      <c r="J472"/>
      <c r="K472"/>
      <c r="L472"/>
      <c r="M472"/>
      <c r="N472"/>
    </row>
    <row r="473" spans="2:14" x14ac:dyDescent="0.25">
      <c r="B473"/>
      <c r="C473"/>
      <c r="D473"/>
      <c r="E473"/>
      <c r="F473"/>
      <c r="G473"/>
      <c r="H473"/>
      <c r="I473"/>
      <c r="J473"/>
      <c r="K473"/>
      <c r="L473"/>
      <c r="M473"/>
      <c r="N473"/>
    </row>
    <row r="474" spans="2:14" x14ac:dyDescent="0.25">
      <c r="B474"/>
      <c r="C474"/>
      <c r="D474"/>
      <c r="E474"/>
      <c r="F474"/>
      <c r="G474"/>
      <c r="H474"/>
      <c r="I474"/>
      <c r="J474"/>
      <c r="K474"/>
      <c r="L474"/>
      <c r="M474"/>
      <c r="N474"/>
    </row>
    <row r="475" spans="2:14" x14ac:dyDescent="0.25">
      <c r="B475"/>
      <c r="C475"/>
      <c r="D475"/>
      <c r="E475"/>
      <c r="F475"/>
      <c r="G475"/>
      <c r="H475"/>
      <c r="I475"/>
      <c r="J475"/>
      <c r="K475"/>
      <c r="L475"/>
      <c r="M475"/>
      <c r="N475"/>
    </row>
    <row r="476" spans="2:14" x14ac:dyDescent="0.25">
      <c r="B476"/>
      <c r="C476"/>
      <c r="D476"/>
      <c r="E476"/>
      <c r="F476"/>
      <c r="G476"/>
      <c r="H476"/>
      <c r="I476"/>
      <c r="J476"/>
      <c r="K476"/>
      <c r="L476"/>
      <c r="M476"/>
      <c r="N476"/>
    </row>
    <row r="477" spans="2:14" x14ac:dyDescent="0.25">
      <c r="B477"/>
      <c r="C477"/>
      <c r="D477"/>
      <c r="E477"/>
      <c r="F477"/>
      <c r="G477"/>
      <c r="H477"/>
      <c r="I477"/>
      <c r="J477"/>
      <c r="K477"/>
      <c r="L477"/>
      <c r="M477"/>
      <c r="N477"/>
    </row>
    <row r="478" spans="2:14" x14ac:dyDescent="0.25">
      <c r="B478"/>
      <c r="C478"/>
      <c r="D478"/>
      <c r="E478"/>
      <c r="F478"/>
      <c r="G478"/>
      <c r="H478"/>
      <c r="I478"/>
      <c r="J478"/>
      <c r="K478"/>
      <c r="L478"/>
      <c r="M478"/>
      <c r="N478"/>
    </row>
    <row r="479" spans="2:14" x14ac:dyDescent="0.25">
      <c r="B479"/>
      <c r="C479"/>
      <c r="D479"/>
      <c r="E479"/>
      <c r="F479"/>
      <c r="G479"/>
      <c r="H479"/>
      <c r="I479"/>
      <c r="J479"/>
      <c r="K479"/>
      <c r="L479"/>
      <c r="M479"/>
      <c r="N479"/>
    </row>
    <row r="480" spans="2:14" x14ac:dyDescent="0.25">
      <c r="B480"/>
      <c r="C480"/>
      <c r="D480"/>
      <c r="E480"/>
      <c r="F480"/>
      <c r="G480"/>
      <c r="H480"/>
      <c r="I480"/>
      <c r="J480"/>
      <c r="K480"/>
      <c r="L480"/>
      <c r="M480"/>
      <c r="N480"/>
    </row>
    <row r="481" spans="2:14" x14ac:dyDescent="0.25">
      <c r="B481"/>
      <c r="C481"/>
      <c r="D481"/>
      <c r="E481"/>
      <c r="F481"/>
      <c r="G481"/>
      <c r="H481"/>
      <c r="I481"/>
      <c r="J481"/>
      <c r="K481"/>
      <c r="L481"/>
      <c r="M481"/>
      <c r="N481"/>
    </row>
    <row r="482" spans="2:14" x14ac:dyDescent="0.25">
      <c r="B482"/>
      <c r="C482"/>
      <c r="D482"/>
      <c r="E482"/>
      <c r="F482"/>
      <c r="G482"/>
      <c r="H482"/>
      <c r="I482"/>
      <c r="J482"/>
      <c r="K482"/>
      <c r="L482"/>
      <c r="M482"/>
      <c r="N482"/>
    </row>
    <row r="483" spans="2:14" x14ac:dyDescent="0.25">
      <c r="B483"/>
      <c r="C483"/>
      <c r="D483"/>
      <c r="E483"/>
      <c r="F483"/>
      <c r="G483"/>
      <c r="H483"/>
      <c r="I483"/>
      <c r="J483"/>
      <c r="K483"/>
      <c r="L483"/>
      <c r="M483"/>
      <c r="N483"/>
    </row>
    <row r="484" spans="2:14" x14ac:dyDescent="0.25">
      <c r="B484"/>
      <c r="C484"/>
      <c r="D484"/>
      <c r="E484"/>
      <c r="F484"/>
      <c r="G484"/>
      <c r="H484"/>
      <c r="I484"/>
      <c r="J484"/>
      <c r="K484"/>
      <c r="L484"/>
      <c r="M484"/>
      <c r="N484"/>
    </row>
    <row r="485" spans="2:14" x14ac:dyDescent="0.25">
      <c r="B485"/>
      <c r="C485"/>
      <c r="D485"/>
      <c r="E485"/>
      <c r="F485"/>
      <c r="G485"/>
      <c r="H485"/>
      <c r="I485"/>
      <c r="J485"/>
      <c r="K485"/>
      <c r="L485"/>
      <c r="M485"/>
      <c r="N485"/>
    </row>
    <row r="486" spans="2:14" x14ac:dyDescent="0.25">
      <c r="B486"/>
      <c r="C486"/>
      <c r="D486"/>
      <c r="E486"/>
      <c r="F486"/>
      <c r="G486"/>
      <c r="H486"/>
      <c r="I486"/>
      <c r="J486"/>
      <c r="K486"/>
      <c r="L486"/>
      <c r="M486"/>
      <c r="N486"/>
    </row>
    <row r="487" spans="2:14" x14ac:dyDescent="0.25">
      <c r="B487"/>
      <c r="C487"/>
      <c r="D487"/>
      <c r="E487"/>
      <c r="F487"/>
      <c r="G487"/>
      <c r="H487"/>
      <c r="I487"/>
      <c r="J487"/>
      <c r="K487"/>
      <c r="L487"/>
      <c r="M487"/>
      <c r="N487"/>
    </row>
    <row r="488" spans="2:14" x14ac:dyDescent="0.25">
      <c r="B488"/>
      <c r="C488"/>
      <c r="D488"/>
      <c r="E488"/>
      <c r="F488"/>
      <c r="G488"/>
      <c r="H488"/>
      <c r="I488"/>
      <c r="J488"/>
      <c r="K488"/>
      <c r="L488"/>
      <c r="M488"/>
      <c r="N488"/>
    </row>
    <row r="489" spans="2:14" x14ac:dyDescent="0.25">
      <c r="B489"/>
      <c r="C489"/>
      <c r="D489"/>
      <c r="E489"/>
      <c r="F489"/>
      <c r="G489"/>
      <c r="H489"/>
      <c r="I489"/>
      <c r="J489"/>
      <c r="K489"/>
      <c r="L489"/>
      <c r="M489"/>
      <c r="N489"/>
    </row>
    <row r="490" spans="2:14" x14ac:dyDescent="0.25">
      <c r="B490"/>
      <c r="C490"/>
      <c r="D490"/>
      <c r="E490"/>
      <c r="F490"/>
      <c r="G490"/>
      <c r="H490"/>
      <c r="I490"/>
      <c r="J490"/>
      <c r="K490"/>
      <c r="L490"/>
      <c r="M490"/>
      <c r="N490"/>
    </row>
    <row r="491" spans="2:14" x14ac:dyDescent="0.25">
      <c r="B491"/>
      <c r="C491"/>
      <c r="D491"/>
      <c r="E491"/>
      <c r="F491"/>
      <c r="G491"/>
      <c r="H491"/>
      <c r="I491"/>
      <c r="J491"/>
      <c r="K491"/>
      <c r="L491"/>
      <c r="M491"/>
      <c r="N491"/>
    </row>
    <row r="492" spans="2:14" x14ac:dyDescent="0.25">
      <c r="B492"/>
      <c r="C492"/>
      <c r="D492"/>
      <c r="E492"/>
      <c r="F492"/>
      <c r="G492"/>
      <c r="H492"/>
      <c r="I492"/>
      <c r="J492"/>
      <c r="K492"/>
      <c r="L492"/>
      <c r="M492"/>
      <c r="N492"/>
    </row>
    <row r="493" spans="2:14" x14ac:dyDescent="0.25">
      <c r="B493"/>
      <c r="C493"/>
      <c r="D493"/>
      <c r="E493"/>
      <c r="F493"/>
      <c r="G493"/>
      <c r="H493"/>
      <c r="I493"/>
      <c r="J493"/>
      <c r="K493"/>
      <c r="L493"/>
      <c r="M493"/>
      <c r="N493"/>
    </row>
    <row r="494" spans="2:14" x14ac:dyDescent="0.25">
      <c r="B494"/>
      <c r="C494"/>
      <c r="D494"/>
      <c r="E494"/>
      <c r="F494"/>
      <c r="G494"/>
      <c r="H494"/>
      <c r="I494"/>
      <c r="J494"/>
      <c r="K494"/>
      <c r="L494"/>
      <c r="M494"/>
      <c r="N494"/>
    </row>
    <row r="495" spans="2:14" x14ac:dyDescent="0.25">
      <c r="B495"/>
      <c r="C495"/>
      <c r="D495"/>
      <c r="E495"/>
      <c r="F495"/>
      <c r="G495"/>
      <c r="H495"/>
      <c r="I495"/>
      <c r="J495"/>
      <c r="K495"/>
      <c r="L495"/>
      <c r="M495"/>
      <c r="N495"/>
    </row>
    <row r="496" spans="2:14" x14ac:dyDescent="0.25">
      <c r="B496"/>
      <c r="C496"/>
      <c r="D496"/>
      <c r="E496"/>
      <c r="F496"/>
      <c r="G496"/>
      <c r="H496"/>
      <c r="I496"/>
      <c r="J496"/>
      <c r="K496"/>
      <c r="L496"/>
      <c r="M496"/>
      <c r="N496"/>
    </row>
    <row r="497" spans="2:14" x14ac:dyDescent="0.25">
      <c r="B497"/>
      <c r="C497"/>
      <c r="D497"/>
      <c r="E497"/>
      <c r="F497"/>
      <c r="G497"/>
      <c r="H497"/>
      <c r="I497"/>
      <c r="J497"/>
      <c r="K497"/>
      <c r="L497"/>
      <c r="M497"/>
      <c r="N497"/>
    </row>
    <row r="498" spans="2:14" x14ac:dyDescent="0.25">
      <c r="B498"/>
      <c r="C498"/>
      <c r="D498"/>
      <c r="E498"/>
      <c r="F498"/>
      <c r="G498"/>
      <c r="H498"/>
      <c r="I498"/>
      <c r="J498"/>
      <c r="K498"/>
      <c r="L498"/>
      <c r="M498"/>
      <c r="N498"/>
    </row>
    <row r="499" spans="2:14" x14ac:dyDescent="0.25">
      <c r="B499"/>
      <c r="C499"/>
      <c r="D499"/>
      <c r="E499"/>
      <c r="F499"/>
      <c r="G499"/>
      <c r="H499"/>
      <c r="I499"/>
      <c r="J499"/>
      <c r="K499"/>
      <c r="L499"/>
      <c r="M499"/>
      <c r="N499"/>
    </row>
    <row r="500" spans="2:14" x14ac:dyDescent="0.25">
      <c r="B500"/>
      <c r="C500"/>
      <c r="D500"/>
      <c r="E500"/>
      <c r="F500"/>
      <c r="G500"/>
      <c r="H500"/>
      <c r="I500"/>
      <c r="J500"/>
      <c r="K500"/>
      <c r="L500"/>
      <c r="M500"/>
      <c r="N500"/>
    </row>
    <row r="501" spans="2:14" x14ac:dyDescent="0.25">
      <c r="B501"/>
      <c r="C501"/>
      <c r="D501"/>
      <c r="E501"/>
      <c r="F501"/>
      <c r="G501"/>
      <c r="H501"/>
      <c r="I501"/>
      <c r="J501"/>
      <c r="K501"/>
      <c r="L501"/>
      <c r="M501"/>
      <c r="N501"/>
    </row>
    <row r="502" spans="2:14" x14ac:dyDescent="0.25">
      <c r="B502"/>
      <c r="C502"/>
      <c r="D502"/>
      <c r="E502"/>
      <c r="F502"/>
      <c r="G502"/>
      <c r="H502"/>
      <c r="I502"/>
      <c r="J502"/>
      <c r="K502"/>
      <c r="L502"/>
      <c r="M502"/>
      <c r="N502"/>
    </row>
    <row r="503" spans="2:14" x14ac:dyDescent="0.25">
      <c r="B503"/>
      <c r="C503"/>
      <c r="D503"/>
      <c r="E503"/>
      <c r="F503"/>
      <c r="G503"/>
      <c r="H503"/>
      <c r="I503"/>
      <c r="J503"/>
      <c r="K503"/>
      <c r="L503"/>
      <c r="M503"/>
      <c r="N503"/>
    </row>
    <row r="504" spans="2:14" x14ac:dyDescent="0.25">
      <c r="B504"/>
      <c r="C504"/>
      <c r="D504"/>
      <c r="E504"/>
      <c r="F504"/>
      <c r="G504"/>
      <c r="H504"/>
      <c r="I504"/>
      <c r="J504"/>
      <c r="K504"/>
      <c r="L504"/>
      <c r="M504"/>
      <c r="N504"/>
    </row>
    <row r="505" spans="2:14" x14ac:dyDescent="0.25">
      <c r="B505"/>
      <c r="C505"/>
      <c r="D505"/>
      <c r="E505"/>
      <c r="F505"/>
      <c r="G505"/>
      <c r="H505"/>
      <c r="I505"/>
      <c r="J505"/>
      <c r="K505"/>
      <c r="L505"/>
      <c r="M505"/>
      <c r="N505"/>
    </row>
    <row r="506" spans="2:14" x14ac:dyDescent="0.25">
      <c r="B506"/>
      <c r="C506"/>
      <c r="D506"/>
      <c r="E506"/>
      <c r="F506"/>
      <c r="G506"/>
      <c r="H506"/>
      <c r="I506"/>
      <c r="J506"/>
      <c r="K506"/>
      <c r="L506"/>
      <c r="M506"/>
      <c r="N506"/>
    </row>
    <row r="507" spans="2:14" x14ac:dyDescent="0.25">
      <c r="B507"/>
      <c r="C507"/>
      <c r="D507"/>
      <c r="E507"/>
      <c r="F507"/>
      <c r="G507"/>
      <c r="H507"/>
      <c r="I507"/>
      <c r="J507"/>
      <c r="K507"/>
      <c r="L507"/>
      <c r="M507"/>
      <c r="N507"/>
    </row>
    <row r="508" spans="2:14" x14ac:dyDescent="0.25">
      <c r="B508"/>
      <c r="C508"/>
      <c r="D508"/>
      <c r="E508"/>
      <c r="F508"/>
      <c r="G508"/>
      <c r="H508"/>
      <c r="I508"/>
      <c r="J508"/>
      <c r="K508"/>
      <c r="L508"/>
      <c r="M508"/>
      <c r="N508"/>
    </row>
    <row r="509" spans="2:14" x14ac:dyDescent="0.25">
      <c r="B509"/>
      <c r="C509"/>
      <c r="D509"/>
      <c r="E509"/>
      <c r="F509"/>
      <c r="G509"/>
      <c r="H509"/>
      <c r="I509"/>
      <c r="J509"/>
      <c r="K509"/>
      <c r="L509"/>
      <c r="M509"/>
      <c r="N509"/>
    </row>
    <row r="510" spans="2:14" x14ac:dyDescent="0.25">
      <c r="B510"/>
      <c r="C510"/>
      <c r="D510"/>
      <c r="E510"/>
      <c r="F510"/>
      <c r="G510"/>
      <c r="H510"/>
      <c r="I510"/>
      <c r="J510"/>
      <c r="K510"/>
      <c r="L510"/>
      <c r="M510"/>
      <c r="N510"/>
    </row>
    <row r="527" spans="2:14" x14ac:dyDescent="0.25">
      <c r="B527"/>
      <c r="C527"/>
      <c r="D527"/>
      <c r="E527"/>
      <c r="F527"/>
      <c r="G527"/>
      <c r="H527"/>
      <c r="I527"/>
      <c r="J527"/>
      <c r="K527"/>
      <c r="L527"/>
      <c r="M527"/>
      <c r="N527"/>
    </row>
    <row r="528" spans="2:14" x14ac:dyDescent="0.25">
      <c r="B528"/>
      <c r="C528"/>
      <c r="D528"/>
      <c r="E528"/>
      <c r="F528"/>
      <c r="G528"/>
      <c r="H528"/>
      <c r="I528"/>
      <c r="J528"/>
      <c r="K528"/>
      <c r="L528"/>
      <c r="M528"/>
      <c r="N528"/>
    </row>
    <row r="529" spans="2:14" x14ac:dyDescent="0.25">
      <c r="B529"/>
      <c r="C529"/>
      <c r="D529"/>
      <c r="E529"/>
      <c r="F529"/>
      <c r="G529"/>
      <c r="H529"/>
      <c r="I529"/>
      <c r="J529"/>
      <c r="K529"/>
      <c r="L529"/>
      <c r="M529"/>
      <c r="N529"/>
    </row>
    <row r="530" spans="2:14" x14ac:dyDescent="0.25">
      <c r="B530"/>
      <c r="C530"/>
      <c r="D530"/>
      <c r="E530"/>
      <c r="F530"/>
      <c r="G530"/>
      <c r="H530"/>
      <c r="I530"/>
      <c r="J530"/>
      <c r="K530"/>
      <c r="L530"/>
      <c r="M530"/>
      <c r="N530"/>
    </row>
    <row r="531" spans="2:14" x14ac:dyDescent="0.25">
      <c r="B531"/>
      <c r="C531"/>
      <c r="D531"/>
      <c r="E531"/>
      <c r="F531"/>
      <c r="G531"/>
      <c r="H531"/>
      <c r="I531"/>
      <c r="J531"/>
      <c r="K531"/>
      <c r="L531"/>
      <c r="M531"/>
      <c r="N531"/>
    </row>
    <row r="532" spans="2:14" x14ac:dyDescent="0.25">
      <c r="B532"/>
      <c r="C532"/>
      <c r="D532"/>
      <c r="E532"/>
      <c r="F532"/>
      <c r="G532"/>
      <c r="H532"/>
      <c r="I532"/>
      <c r="J532"/>
      <c r="K532"/>
      <c r="L532"/>
      <c r="M532"/>
      <c r="N532"/>
    </row>
    <row r="533" spans="2:14" x14ac:dyDescent="0.25">
      <c r="B533"/>
      <c r="C533"/>
      <c r="D533"/>
      <c r="E533"/>
      <c r="F533"/>
      <c r="G533"/>
      <c r="H533"/>
      <c r="I533"/>
      <c r="J533"/>
      <c r="K533"/>
      <c r="L533"/>
      <c r="M533"/>
      <c r="N533"/>
    </row>
    <row r="534" spans="2:14" x14ac:dyDescent="0.25">
      <c r="B534"/>
      <c r="C534"/>
      <c r="D534"/>
      <c r="E534"/>
      <c r="F534"/>
      <c r="G534"/>
      <c r="H534"/>
      <c r="I534"/>
      <c r="J534"/>
      <c r="K534"/>
      <c r="L534"/>
      <c r="M534"/>
      <c r="N534"/>
    </row>
    <row r="535" spans="2:14" x14ac:dyDescent="0.25">
      <c r="B535"/>
      <c r="C535"/>
      <c r="D535"/>
      <c r="E535"/>
      <c r="F535"/>
      <c r="G535"/>
      <c r="H535"/>
      <c r="I535"/>
      <c r="J535"/>
      <c r="K535"/>
      <c r="L535"/>
      <c r="M535"/>
      <c r="N535"/>
    </row>
    <row r="536" spans="2:14" x14ac:dyDescent="0.25">
      <c r="B536"/>
      <c r="C536"/>
      <c r="D536"/>
      <c r="E536"/>
      <c r="F536"/>
      <c r="G536"/>
      <c r="H536"/>
      <c r="I536"/>
      <c r="J536"/>
      <c r="K536"/>
      <c r="L536"/>
      <c r="M536"/>
      <c r="N536"/>
    </row>
    <row r="537" spans="2:14" x14ac:dyDescent="0.25">
      <c r="B537"/>
      <c r="C537"/>
      <c r="D537"/>
      <c r="E537"/>
      <c r="F537"/>
      <c r="G537"/>
      <c r="H537"/>
      <c r="I537"/>
      <c r="J537"/>
      <c r="K537"/>
      <c r="L537"/>
      <c r="M537"/>
      <c r="N537"/>
    </row>
    <row r="538" spans="2:14" x14ac:dyDescent="0.25">
      <c r="B538"/>
      <c r="C538"/>
      <c r="D538"/>
      <c r="E538"/>
      <c r="F538"/>
      <c r="G538"/>
      <c r="H538"/>
      <c r="I538"/>
      <c r="J538"/>
      <c r="K538"/>
      <c r="L538"/>
      <c r="M538"/>
      <c r="N538"/>
    </row>
    <row r="539" spans="2:14" x14ac:dyDescent="0.25">
      <c r="B539"/>
      <c r="C539"/>
      <c r="D539"/>
      <c r="E539"/>
      <c r="F539"/>
      <c r="G539"/>
      <c r="H539"/>
      <c r="I539"/>
      <c r="J539"/>
      <c r="K539"/>
      <c r="L539"/>
      <c r="M539"/>
      <c r="N539"/>
    </row>
    <row r="540" spans="2:14" x14ac:dyDescent="0.25">
      <c r="B540"/>
      <c r="C540"/>
      <c r="D540"/>
      <c r="E540"/>
      <c r="F540"/>
      <c r="G540"/>
      <c r="H540"/>
      <c r="I540"/>
      <c r="J540"/>
      <c r="K540"/>
      <c r="L540"/>
      <c r="M540"/>
      <c r="N540"/>
    </row>
    <row r="541" spans="2:14" x14ac:dyDescent="0.25">
      <c r="B541"/>
      <c r="C541"/>
      <c r="D541"/>
      <c r="E541"/>
      <c r="F541"/>
      <c r="G541"/>
      <c r="H541"/>
      <c r="I541"/>
      <c r="J541"/>
      <c r="K541"/>
      <c r="L541"/>
      <c r="M541"/>
      <c r="N541"/>
    </row>
    <row r="542" spans="2:14" x14ac:dyDescent="0.25">
      <c r="B542"/>
      <c r="C542"/>
      <c r="D542"/>
      <c r="E542"/>
      <c r="F542"/>
      <c r="G542"/>
      <c r="H542"/>
      <c r="I542"/>
      <c r="J542"/>
      <c r="K542"/>
      <c r="L542"/>
      <c r="M542"/>
      <c r="N542"/>
    </row>
    <row r="543" spans="2:14" x14ac:dyDescent="0.25">
      <c r="B543"/>
      <c r="C543"/>
      <c r="D543"/>
      <c r="E543"/>
      <c r="F543"/>
      <c r="G543"/>
      <c r="H543"/>
      <c r="I543"/>
      <c r="J543"/>
      <c r="K543"/>
      <c r="L543"/>
      <c r="M543"/>
      <c r="N543"/>
    </row>
    <row r="544" spans="2:14" x14ac:dyDescent="0.25">
      <c r="B544"/>
      <c r="C544"/>
      <c r="D544"/>
      <c r="E544"/>
      <c r="F544"/>
      <c r="G544"/>
      <c r="H544"/>
      <c r="I544"/>
      <c r="J544"/>
      <c r="K544"/>
      <c r="L544"/>
      <c r="M544"/>
      <c r="N544"/>
    </row>
    <row r="545" spans="2:14" x14ac:dyDescent="0.25">
      <c r="B545"/>
      <c r="C545"/>
      <c r="D545"/>
      <c r="E545"/>
      <c r="F545"/>
      <c r="G545"/>
      <c r="H545"/>
      <c r="I545"/>
      <c r="J545"/>
      <c r="K545"/>
      <c r="L545"/>
      <c r="M545"/>
      <c r="N545"/>
    </row>
    <row r="546" spans="2:14" x14ac:dyDescent="0.25">
      <c r="B546"/>
      <c r="C546"/>
      <c r="D546"/>
      <c r="E546"/>
      <c r="F546"/>
      <c r="G546"/>
      <c r="H546"/>
      <c r="I546"/>
      <c r="J546"/>
      <c r="K546"/>
      <c r="L546"/>
      <c r="M546"/>
      <c r="N546"/>
    </row>
    <row r="547" spans="2:14" x14ac:dyDescent="0.25">
      <c r="B547"/>
      <c r="C547"/>
      <c r="D547"/>
      <c r="E547"/>
      <c r="F547"/>
      <c r="G547"/>
      <c r="H547"/>
      <c r="I547"/>
      <c r="J547"/>
      <c r="K547"/>
      <c r="L547"/>
      <c r="M547"/>
      <c r="N547"/>
    </row>
    <row r="548" spans="2:14" x14ac:dyDescent="0.25">
      <c r="B548"/>
      <c r="C548"/>
      <c r="D548"/>
      <c r="E548"/>
      <c r="F548"/>
      <c r="G548"/>
      <c r="H548"/>
      <c r="I548"/>
      <c r="J548"/>
      <c r="K548"/>
      <c r="L548"/>
      <c r="M548"/>
      <c r="N548"/>
    </row>
    <row r="549" spans="2:14" x14ac:dyDescent="0.25">
      <c r="B549"/>
      <c r="C549"/>
      <c r="D549"/>
      <c r="E549"/>
      <c r="F549"/>
      <c r="G549"/>
      <c r="H549"/>
      <c r="I549"/>
      <c r="J549"/>
      <c r="K549"/>
      <c r="L549"/>
      <c r="M549"/>
      <c r="N549"/>
    </row>
    <row r="550" spans="2:14" x14ac:dyDescent="0.25">
      <c r="B550"/>
      <c r="C550"/>
      <c r="D550"/>
      <c r="E550"/>
      <c r="F550"/>
      <c r="G550"/>
      <c r="H550"/>
      <c r="I550"/>
      <c r="J550"/>
      <c r="K550"/>
      <c r="L550"/>
      <c r="M550"/>
      <c r="N550"/>
    </row>
    <row r="551" spans="2:14" x14ac:dyDescent="0.25">
      <c r="B551"/>
      <c r="C551"/>
      <c r="D551"/>
      <c r="E551"/>
      <c r="F551"/>
      <c r="G551"/>
      <c r="H551"/>
      <c r="I551"/>
      <c r="J551"/>
      <c r="K551"/>
      <c r="L551"/>
      <c r="M551"/>
      <c r="N551"/>
    </row>
    <row r="552" spans="2:14" x14ac:dyDescent="0.25">
      <c r="B552"/>
      <c r="C552"/>
      <c r="D552"/>
      <c r="E552"/>
      <c r="F552"/>
      <c r="G552"/>
      <c r="H552"/>
      <c r="I552"/>
      <c r="J552"/>
      <c r="K552"/>
      <c r="L552"/>
      <c r="M552"/>
      <c r="N552"/>
    </row>
    <row r="553" spans="2:14" x14ac:dyDescent="0.25">
      <c r="B553"/>
      <c r="C553"/>
      <c r="D553"/>
      <c r="E553"/>
      <c r="F553"/>
      <c r="G553"/>
      <c r="H553"/>
      <c r="I553"/>
      <c r="J553"/>
      <c r="K553"/>
      <c r="L553"/>
      <c r="M553"/>
      <c r="N553"/>
    </row>
    <row r="554" spans="2:14" x14ac:dyDescent="0.25">
      <c r="B554"/>
      <c r="C554"/>
      <c r="D554"/>
      <c r="E554"/>
      <c r="F554"/>
      <c r="G554"/>
      <c r="H554"/>
      <c r="I554"/>
      <c r="J554"/>
      <c r="K554"/>
      <c r="L554"/>
      <c r="M554"/>
      <c r="N554"/>
    </row>
    <row r="555" spans="2:14" x14ac:dyDescent="0.25">
      <c r="B555"/>
      <c r="C555"/>
      <c r="D555"/>
      <c r="E555"/>
      <c r="F555"/>
      <c r="G555"/>
      <c r="H555"/>
      <c r="I555"/>
      <c r="J555"/>
      <c r="K555"/>
      <c r="L555"/>
      <c r="M555"/>
      <c r="N555"/>
    </row>
    <row r="556" spans="2:14" x14ac:dyDescent="0.25">
      <c r="B556"/>
      <c r="C556"/>
      <c r="D556"/>
      <c r="E556"/>
      <c r="F556"/>
      <c r="G556"/>
      <c r="H556"/>
      <c r="I556"/>
      <c r="J556"/>
      <c r="K556"/>
      <c r="L556"/>
      <c r="M556"/>
      <c r="N556"/>
    </row>
    <row r="557" spans="2:14" x14ac:dyDescent="0.25">
      <c r="B557"/>
      <c r="C557"/>
      <c r="D557"/>
      <c r="E557"/>
      <c r="F557"/>
      <c r="G557"/>
      <c r="H557"/>
      <c r="I557"/>
      <c r="J557"/>
      <c r="K557"/>
      <c r="L557"/>
      <c r="M557"/>
      <c r="N557"/>
    </row>
    <row r="558" spans="2:14" x14ac:dyDescent="0.25">
      <c r="B558"/>
      <c r="C558"/>
      <c r="D558"/>
      <c r="E558"/>
      <c r="F558"/>
      <c r="G558"/>
      <c r="H558"/>
      <c r="I558"/>
      <c r="J558"/>
      <c r="K558"/>
      <c r="L558"/>
      <c r="M558"/>
      <c r="N558"/>
    </row>
    <row r="559" spans="2:14" x14ac:dyDescent="0.25">
      <c r="B559"/>
      <c r="C559"/>
      <c r="D559"/>
      <c r="E559"/>
      <c r="F559"/>
      <c r="G559"/>
      <c r="H559"/>
      <c r="I559"/>
      <c r="J559"/>
      <c r="K559"/>
      <c r="L559"/>
      <c r="M559"/>
      <c r="N559"/>
    </row>
    <row r="560" spans="2:14" x14ac:dyDescent="0.25">
      <c r="B560"/>
      <c r="C560"/>
      <c r="D560"/>
      <c r="E560"/>
      <c r="F560"/>
      <c r="G560"/>
      <c r="H560"/>
      <c r="I560"/>
      <c r="J560"/>
      <c r="K560"/>
      <c r="L560"/>
      <c r="M560"/>
      <c r="N560"/>
    </row>
    <row r="561" spans="2:14" x14ac:dyDescent="0.25">
      <c r="B561"/>
      <c r="C561"/>
      <c r="D561"/>
      <c r="E561"/>
      <c r="F561"/>
      <c r="G561"/>
      <c r="H561"/>
      <c r="I561"/>
      <c r="J561"/>
      <c r="K561"/>
      <c r="L561"/>
      <c r="M561"/>
      <c r="N561"/>
    </row>
    <row r="562" spans="2:14" x14ac:dyDescent="0.25">
      <c r="B562"/>
      <c r="C562"/>
      <c r="D562"/>
      <c r="E562"/>
      <c r="F562"/>
      <c r="G562"/>
      <c r="H562"/>
      <c r="I562"/>
      <c r="J562"/>
      <c r="K562"/>
      <c r="L562"/>
      <c r="M562"/>
      <c r="N562"/>
    </row>
    <row r="563" spans="2:14" x14ac:dyDescent="0.25">
      <c r="B563"/>
      <c r="C563"/>
      <c r="D563"/>
      <c r="E563"/>
      <c r="F563"/>
      <c r="G563"/>
      <c r="H563"/>
      <c r="I563"/>
      <c r="J563"/>
      <c r="K563"/>
      <c r="L563"/>
      <c r="M563"/>
      <c r="N563"/>
    </row>
    <row r="564" spans="2:14" x14ac:dyDescent="0.25">
      <c r="B564"/>
      <c r="C564"/>
      <c r="D564"/>
      <c r="E564"/>
      <c r="F564"/>
      <c r="G564"/>
      <c r="H564"/>
      <c r="I564"/>
      <c r="J564"/>
      <c r="K564"/>
      <c r="L564"/>
      <c r="M564"/>
      <c r="N564"/>
    </row>
    <row r="565" spans="2:14" x14ac:dyDescent="0.25">
      <c r="B565"/>
      <c r="C565"/>
      <c r="D565"/>
      <c r="E565"/>
      <c r="F565"/>
      <c r="G565"/>
      <c r="H565"/>
      <c r="I565"/>
      <c r="J565"/>
      <c r="K565"/>
      <c r="L565"/>
      <c r="M565"/>
      <c r="N565"/>
    </row>
    <row r="566" spans="2:14" x14ac:dyDescent="0.25">
      <c r="B566"/>
      <c r="C566"/>
      <c r="D566"/>
      <c r="E566"/>
      <c r="F566"/>
      <c r="G566"/>
      <c r="H566"/>
      <c r="I566"/>
      <c r="J566"/>
      <c r="K566"/>
      <c r="L566"/>
      <c r="M566"/>
      <c r="N566"/>
    </row>
    <row r="567" spans="2:14" x14ac:dyDescent="0.25">
      <c r="B567"/>
      <c r="C567"/>
      <c r="D567"/>
      <c r="E567"/>
      <c r="F567"/>
      <c r="G567"/>
      <c r="H567"/>
      <c r="I567"/>
      <c r="J567"/>
      <c r="K567"/>
      <c r="L567"/>
      <c r="M567"/>
      <c r="N567"/>
    </row>
    <row r="568" spans="2:14" x14ac:dyDescent="0.25">
      <c r="B568"/>
      <c r="C568"/>
      <c r="D568"/>
      <c r="E568"/>
      <c r="F568"/>
      <c r="G568"/>
      <c r="H568"/>
      <c r="I568"/>
      <c r="J568"/>
      <c r="K568"/>
      <c r="L568"/>
      <c r="M568"/>
      <c r="N568"/>
    </row>
    <row r="569" spans="2:14" x14ac:dyDescent="0.25">
      <c r="B569"/>
      <c r="C569"/>
      <c r="D569"/>
      <c r="E569"/>
      <c r="F569"/>
      <c r="G569"/>
      <c r="H569"/>
      <c r="I569"/>
      <c r="J569"/>
      <c r="K569"/>
      <c r="L569"/>
      <c r="M569"/>
      <c r="N569"/>
    </row>
    <row r="570" spans="2:14" x14ac:dyDescent="0.25">
      <c r="B570"/>
      <c r="C570"/>
      <c r="D570"/>
      <c r="E570"/>
      <c r="F570"/>
      <c r="G570"/>
      <c r="H570"/>
      <c r="I570"/>
      <c r="J570"/>
      <c r="K570"/>
      <c r="L570"/>
      <c r="M570"/>
      <c r="N570"/>
    </row>
    <row r="571" spans="2:14" x14ac:dyDescent="0.25">
      <c r="B571"/>
      <c r="C571"/>
      <c r="D571"/>
      <c r="E571"/>
      <c r="F571"/>
      <c r="G571"/>
      <c r="H571"/>
      <c r="I571"/>
      <c r="J571"/>
      <c r="K571"/>
      <c r="L571"/>
      <c r="M571"/>
      <c r="N571"/>
    </row>
    <row r="572" spans="2:14" x14ac:dyDescent="0.25">
      <c r="B572"/>
      <c r="C572"/>
      <c r="D572"/>
      <c r="E572"/>
      <c r="F572"/>
      <c r="G572"/>
      <c r="H572"/>
      <c r="I572"/>
      <c r="J572"/>
      <c r="K572"/>
      <c r="L572"/>
      <c r="M572"/>
      <c r="N572"/>
    </row>
    <row r="573" spans="2:14" x14ac:dyDescent="0.25">
      <c r="B573"/>
      <c r="C573"/>
      <c r="D573"/>
      <c r="E573"/>
      <c r="F573"/>
      <c r="G573"/>
      <c r="H573"/>
      <c r="I573"/>
      <c r="J573"/>
      <c r="K573"/>
      <c r="L573"/>
      <c r="M573"/>
      <c r="N573"/>
    </row>
    <row r="574" spans="2:14" x14ac:dyDescent="0.25">
      <c r="B574"/>
      <c r="C574"/>
      <c r="D574"/>
      <c r="E574"/>
      <c r="F574"/>
      <c r="G574"/>
      <c r="H574"/>
      <c r="I574"/>
      <c r="J574"/>
      <c r="K574"/>
      <c r="L574"/>
      <c r="M574"/>
      <c r="N574"/>
    </row>
    <row r="575" spans="2:14" x14ac:dyDescent="0.25">
      <c r="B575"/>
      <c r="C575"/>
      <c r="D575"/>
      <c r="E575"/>
      <c r="F575"/>
      <c r="G575"/>
      <c r="H575"/>
      <c r="I575"/>
      <c r="J575"/>
      <c r="K575"/>
      <c r="L575"/>
      <c r="M575"/>
      <c r="N575"/>
    </row>
    <row r="576" spans="2:14" x14ac:dyDescent="0.25">
      <c r="B576"/>
      <c r="C576"/>
      <c r="D576"/>
      <c r="E576"/>
      <c r="F576"/>
      <c r="G576"/>
      <c r="H576"/>
      <c r="I576"/>
      <c r="J576"/>
      <c r="K576"/>
      <c r="L576"/>
      <c r="M576"/>
      <c r="N576"/>
    </row>
    <row r="577" spans="2:14" x14ac:dyDescent="0.25">
      <c r="B577"/>
      <c r="C577"/>
      <c r="D577"/>
      <c r="E577"/>
      <c r="F577"/>
      <c r="G577"/>
      <c r="H577"/>
      <c r="I577"/>
      <c r="J577"/>
      <c r="K577"/>
      <c r="L577"/>
      <c r="M577"/>
      <c r="N577"/>
    </row>
    <row r="578" spans="2:14" x14ac:dyDescent="0.25">
      <c r="B578"/>
      <c r="C578"/>
      <c r="D578"/>
      <c r="E578"/>
      <c r="F578"/>
      <c r="G578"/>
      <c r="H578"/>
      <c r="I578"/>
      <c r="J578"/>
      <c r="K578"/>
      <c r="L578"/>
      <c r="M578"/>
      <c r="N578"/>
    </row>
    <row r="579" spans="2:14" x14ac:dyDescent="0.25">
      <c r="B579"/>
      <c r="C579"/>
      <c r="D579"/>
      <c r="E579"/>
      <c r="F579"/>
      <c r="G579"/>
      <c r="H579"/>
      <c r="I579"/>
      <c r="J579"/>
      <c r="K579"/>
      <c r="L579"/>
      <c r="M579"/>
      <c r="N579"/>
    </row>
    <row r="580" spans="2:14" x14ac:dyDescent="0.25">
      <c r="B580"/>
      <c r="C580"/>
      <c r="D580"/>
      <c r="E580"/>
      <c r="F580"/>
      <c r="G580"/>
      <c r="H580"/>
      <c r="I580"/>
      <c r="J580"/>
      <c r="K580"/>
      <c r="L580"/>
      <c r="M580"/>
      <c r="N580"/>
    </row>
    <row r="581" spans="2:14" x14ac:dyDescent="0.25">
      <c r="C581"/>
      <c r="D581"/>
      <c r="E581"/>
      <c r="F581"/>
      <c r="G581"/>
      <c r="H581"/>
      <c r="I581"/>
      <c r="J581"/>
      <c r="K581"/>
      <c r="L581"/>
      <c r="M581"/>
      <c r="N581"/>
    </row>
    <row r="582" spans="2:14" x14ac:dyDescent="0.25">
      <c r="C582"/>
      <c r="D582"/>
      <c r="E582"/>
      <c r="F582"/>
      <c r="G582"/>
      <c r="H582"/>
      <c r="I582"/>
      <c r="J582"/>
      <c r="K582"/>
      <c r="L582"/>
      <c r="M582"/>
      <c r="N582"/>
    </row>
    <row r="583" spans="2:14" x14ac:dyDescent="0.25">
      <c r="C583"/>
      <c r="D583"/>
      <c r="E583"/>
      <c r="F583"/>
      <c r="G583"/>
      <c r="H583"/>
      <c r="I583"/>
      <c r="J583"/>
      <c r="K583"/>
      <c r="L583"/>
      <c r="M583"/>
      <c r="N583"/>
    </row>
    <row r="584" spans="2:14" x14ac:dyDescent="0.25">
      <c r="C584"/>
      <c r="D584"/>
      <c r="E584"/>
      <c r="F584"/>
      <c r="G584"/>
      <c r="H584"/>
      <c r="I584"/>
      <c r="J584"/>
      <c r="K584"/>
      <c r="L584"/>
      <c r="M584"/>
      <c r="N584"/>
    </row>
    <row r="585" spans="2:14" x14ac:dyDescent="0.25">
      <c r="C585"/>
      <c r="D585"/>
      <c r="E585"/>
      <c r="F585"/>
      <c r="G585"/>
      <c r="H585"/>
      <c r="I585"/>
      <c r="J585"/>
      <c r="K585"/>
      <c r="L585"/>
      <c r="M585"/>
      <c r="N585"/>
    </row>
    <row r="586" spans="2:14" x14ac:dyDescent="0.25">
      <c r="C586"/>
      <c r="D586"/>
      <c r="E586"/>
      <c r="F586"/>
      <c r="G586"/>
      <c r="H586"/>
      <c r="I586"/>
      <c r="J586"/>
      <c r="K586"/>
      <c r="L586"/>
      <c r="M586"/>
      <c r="N586"/>
    </row>
    <row r="587" spans="2:14" x14ac:dyDescent="0.25">
      <c r="C587"/>
      <c r="D587"/>
      <c r="E587"/>
      <c r="F587"/>
      <c r="G587"/>
      <c r="H587"/>
      <c r="I587"/>
      <c r="J587"/>
      <c r="K587"/>
      <c r="L587"/>
      <c r="M587"/>
      <c r="N587"/>
    </row>
    <row r="588" spans="2:14" x14ac:dyDescent="0.25">
      <c r="C588"/>
      <c r="D588"/>
      <c r="E588"/>
      <c r="F588"/>
      <c r="G588"/>
      <c r="H588"/>
      <c r="I588"/>
      <c r="J588"/>
      <c r="K588"/>
      <c r="L588"/>
      <c r="M588"/>
      <c r="N588"/>
    </row>
    <row r="589" spans="2:14" x14ac:dyDescent="0.25">
      <c r="C589"/>
      <c r="D589"/>
      <c r="E589"/>
      <c r="F589"/>
      <c r="G589"/>
      <c r="H589"/>
      <c r="I589"/>
      <c r="J589"/>
      <c r="K589"/>
      <c r="L589"/>
      <c r="M589"/>
      <c r="N589"/>
    </row>
    <row r="590" spans="2:14" x14ac:dyDescent="0.25">
      <c r="C590"/>
      <c r="D590"/>
      <c r="E590"/>
      <c r="F590"/>
      <c r="G590"/>
      <c r="H590"/>
      <c r="I590"/>
      <c r="J590"/>
      <c r="K590"/>
      <c r="L590"/>
      <c r="M590"/>
      <c r="N590"/>
    </row>
    <row r="591" spans="2:14" x14ac:dyDescent="0.25">
      <c r="C591"/>
      <c r="D591"/>
      <c r="E591"/>
      <c r="F591"/>
      <c r="G591"/>
      <c r="H591"/>
      <c r="I591"/>
      <c r="J591"/>
      <c r="K591"/>
      <c r="L591"/>
      <c r="M591"/>
      <c r="N591"/>
    </row>
    <row r="592" spans="2:14" x14ac:dyDescent="0.25">
      <c r="C592"/>
      <c r="D592"/>
      <c r="E592"/>
      <c r="F592"/>
      <c r="G592"/>
      <c r="H592"/>
      <c r="I592"/>
      <c r="J592"/>
      <c r="K592"/>
      <c r="L592"/>
      <c r="M592"/>
      <c r="N592"/>
    </row>
    <row r="593" spans="3:14" x14ac:dyDescent="0.25">
      <c r="C593"/>
      <c r="D593"/>
      <c r="E593"/>
      <c r="F593"/>
      <c r="G593"/>
      <c r="H593"/>
      <c r="I593"/>
      <c r="J593"/>
      <c r="K593"/>
      <c r="L593"/>
      <c r="M593"/>
      <c r="N593"/>
    </row>
    <row r="594" spans="3:14" x14ac:dyDescent="0.25">
      <c r="C594"/>
      <c r="D594"/>
      <c r="E594"/>
      <c r="F594"/>
      <c r="G594"/>
      <c r="H594"/>
      <c r="I594"/>
      <c r="J594"/>
      <c r="K594"/>
      <c r="L594"/>
      <c r="M594"/>
      <c r="N594"/>
    </row>
    <row r="595" spans="3:14" x14ac:dyDescent="0.25">
      <c r="C595"/>
      <c r="D595"/>
      <c r="E595"/>
      <c r="F595"/>
      <c r="G595"/>
      <c r="H595"/>
      <c r="I595"/>
      <c r="J595"/>
      <c r="K595"/>
      <c r="L595"/>
      <c r="M595"/>
      <c r="N595"/>
    </row>
    <row r="596" spans="3:14" x14ac:dyDescent="0.25">
      <c r="C596"/>
      <c r="D596"/>
      <c r="E596"/>
      <c r="F596"/>
      <c r="G596"/>
      <c r="H596"/>
      <c r="I596"/>
      <c r="J596"/>
      <c r="K596"/>
      <c r="L596"/>
      <c r="M596"/>
      <c r="N596"/>
    </row>
    <row r="597" spans="3:14" x14ac:dyDescent="0.25">
      <c r="C597"/>
      <c r="D597"/>
      <c r="E597"/>
      <c r="F597"/>
      <c r="G597"/>
      <c r="H597"/>
      <c r="I597"/>
      <c r="J597"/>
      <c r="K597"/>
      <c r="L597"/>
      <c r="M597"/>
      <c r="N597"/>
    </row>
    <row r="598" spans="3:14" x14ac:dyDescent="0.25">
      <c r="C598"/>
      <c r="D598"/>
      <c r="E598"/>
      <c r="F598"/>
      <c r="G598"/>
      <c r="H598"/>
      <c r="I598"/>
      <c r="J598"/>
      <c r="K598"/>
      <c r="L598"/>
      <c r="M598"/>
      <c r="N598"/>
    </row>
    <row r="599" spans="3:14" x14ac:dyDescent="0.25">
      <c r="C599"/>
      <c r="D599"/>
      <c r="E599"/>
      <c r="F599"/>
      <c r="G599"/>
      <c r="H599"/>
      <c r="I599"/>
      <c r="J599"/>
      <c r="K599"/>
      <c r="L599"/>
      <c r="M599"/>
      <c r="N599"/>
    </row>
    <row r="600" spans="3:14" x14ac:dyDescent="0.25">
      <c r="C600"/>
      <c r="D600"/>
      <c r="E600"/>
      <c r="F600"/>
      <c r="G600"/>
      <c r="H600"/>
      <c r="I600"/>
      <c r="J600"/>
      <c r="K600"/>
      <c r="L600"/>
      <c r="M600"/>
      <c r="N600"/>
    </row>
    <row r="601" spans="3:14" x14ac:dyDescent="0.25">
      <c r="C601"/>
      <c r="D601"/>
      <c r="E601"/>
      <c r="F601"/>
      <c r="G601"/>
      <c r="H601"/>
      <c r="I601"/>
      <c r="J601"/>
      <c r="K601"/>
      <c r="L601"/>
      <c r="M601"/>
      <c r="N601"/>
    </row>
    <row r="602" spans="3:14" x14ac:dyDescent="0.25">
      <c r="C602"/>
      <c r="D602"/>
      <c r="E602"/>
      <c r="F602"/>
      <c r="G602"/>
      <c r="H602"/>
      <c r="I602"/>
      <c r="J602"/>
      <c r="K602"/>
      <c r="L602"/>
      <c r="M602"/>
      <c r="N602"/>
    </row>
    <row r="603" spans="3:14" x14ac:dyDescent="0.25">
      <c r="C603"/>
      <c r="D603"/>
      <c r="E603"/>
      <c r="F603"/>
      <c r="G603"/>
      <c r="H603"/>
      <c r="I603"/>
      <c r="J603"/>
      <c r="K603"/>
      <c r="L603"/>
      <c r="M603"/>
      <c r="N603"/>
    </row>
    <row r="604" spans="3:14" x14ac:dyDescent="0.25">
      <c r="C604"/>
      <c r="D604"/>
      <c r="E604"/>
      <c r="F604"/>
      <c r="G604"/>
      <c r="H604"/>
      <c r="I604"/>
      <c r="J604"/>
      <c r="K604"/>
      <c r="L604"/>
      <c r="M604"/>
      <c r="N604"/>
    </row>
    <row r="605" spans="3:14" x14ac:dyDescent="0.25">
      <c r="C605"/>
      <c r="D605"/>
      <c r="E605"/>
      <c r="F605"/>
      <c r="G605"/>
      <c r="H605"/>
      <c r="I605"/>
      <c r="J605"/>
      <c r="K605"/>
      <c r="L605"/>
      <c r="M605"/>
      <c r="N605"/>
    </row>
    <row r="606" spans="3:14" x14ac:dyDescent="0.25">
      <c r="C606"/>
      <c r="D606"/>
      <c r="E606"/>
      <c r="F606"/>
      <c r="G606"/>
      <c r="H606"/>
      <c r="I606"/>
      <c r="J606"/>
      <c r="K606"/>
      <c r="L606"/>
      <c r="M606"/>
      <c r="N606"/>
    </row>
    <row r="607" spans="3:14" x14ac:dyDescent="0.25">
      <c r="C607"/>
      <c r="D607"/>
      <c r="E607"/>
      <c r="F607"/>
      <c r="G607"/>
      <c r="H607"/>
      <c r="I607"/>
      <c r="J607"/>
      <c r="K607"/>
      <c r="L607"/>
      <c r="M607"/>
      <c r="N607"/>
    </row>
    <row r="608" spans="3:14" x14ac:dyDescent="0.25">
      <c r="C608"/>
      <c r="D608"/>
      <c r="E608"/>
      <c r="F608"/>
      <c r="G608"/>
      <c r="H608"/>
      <c r="I608"/>
      <c r="J608"/>
      <c r="K608"/>
      <c r="L608"/>
      <c r="M608"/>
      <c r="N608"/>
    </row>
    <row r="609" spans="3:14" x14ac:dyDescent="0.25">
      <c r="C609"/>
      <c r="D609"/>
      <c r="E609"/>
      <c r="F609"/>
      <c r="G609"/>
      <c r="H609"/>
      <c r="I609"/>
      <c r="J609"/>
      <c r="K609"/>
      <c r="L609"/>
      <c r="M609"/>
      <c r="N609"/>
    </row>
    <row r="610" spans="3:14" x14ac:dyDescent="0.25">
      <c r="C610"/>
      <c r="D610"/>
      <c r="E610"/>
      <c r="F610"/>
      <c r="G610"/>
      <c r="H610"/>
      <c r="I610"/>
      <c r="J610"/>
      <c r="K610"/>
      <c r="L610"/>
      <c r="M610"/>
      <c r="N610"/>
    </row>
    <row r="611" spans="3:14" x14ac:dyDescent="0.25">
      <c r="C611"/>
      <c r="D611"/>
      <c r="E611"/>
      <c r="F611"/>
      <c r="G611"/>
      <c r="H611"/>
      <c r="I611"/>
      <c r="J611"/>
      <c r="K611"/>
      <c r="L611"/>
      <c r="M611"/>
      <c r="N611"/>
    </row>
    <row r="612" spans="3:14" x14ac:dyDescent="0.25">
      <c r="C612"/>
      <c r="D612"/>
      <c r="E612"/>
      <c r="F612"/>
      <c r="G612"/>
      <c r="H612"/>
      <c r="I612"/>
      <c r="J612"/>
      <c r="K612"/>
      <c r="L612"/>
      <c r="M612"/>
      <c r="N612"/>
    </row>
    <row r="613" spans="3:14" x14ac:dyDescent="0.25">
      <c r="C613"/>
      <c r="D613"/>
      <c r="E613"/>
      <c r="F613"/>
      <c r="G613"/>
      <c r="H613"/>
      <c r="I613"/>
      <c r="J613"/>
      <c r="K613"/>
      <c r="L613"/>
      <c r="M613"/>
      <c r="N613"/>
    </row>
    <row r="614" spans="3:14" x14ac:dyDescent="0.25">
      <c r="C614"/>
      <c r="D614"/>
      <c r="E614"/>
      <c r="F614"/>
      <c r="G614"/>
      <c r="H614"/>
      <c r="I614"/>
      <c r="J614"/>
      <c r="K614"/>
      <c r="L614"/>
      <c r="M614"/>
      <c r="N614"/>
    </row>
    <row r="615" spans="3:14" x14ac:dyDescent="0.25">
      <c r="C615"/>
      <c r="D615"/>
      <c r="E615"/>
      <c r="F615"/>
      <c r="G615"/>
      <c r="H615"/>
      <c r="I615"/>
      <c r="J615"/>
      <c r="K615"/>
      <c r="L615"/>
      <c r="M615"/>
      <c r="N615"/>
    </row>
    <row r="616" spans="3:14" x14ac:dyDescent="0.25">
      <c r="C616"/>
      <c r="D616"/>
      <c r="E616"/>
      <c r="F616"/>
      <c r="G616"/>
      <c r="H616"/>
      <c r="I616"/>
      <c r="J616"/>
      <c r="K616"/>
      <c r="L616"/>
      <c r="M616"/>
      <c r="N616"/>
    </row>
    <row r="617" spans="3:14" x14ac:dyDescent="0.25">
      <c r="C617"/>
      <c r="D617"/>
      <c r="E617"/>
      <c r="F617"/>
      <c r="G617"/>
      <c r="H617"/>
      <c r="I617"/>
      <c r="J617"/>
      <c r="K617"/>
      <c r="L617"/>
      <c r="M617"/>
      <c r="N617"/>
    </row>
    <row r="618" spans="3:14" x14ac:dyDescent="0.25">
      <c r="C618"/>
      <c r="D618"/>
      <c r="E618"/>
      <c r="F618"/>
      <c r="G618"/>
      <c r="H618"/>
      <c r="I618"/>
      <c r="J618"/>
      <c r="K618"/>
      <c r="L618"/>
      <c r="M618"/>
      <c r="N618"/>
    </row>
    <row r="619" spans="3:14" x14ac:dyDescent="0.25">
      <c r="C619"/>
      <c r="D619"/>
      <c r="E619"/>
      <c r="F619"/>
      <c r="G619"/>
      <c r="H619"/>
      <c r="I619"/>
      <c r="J619"/>
      <c r="K619"/>
      <c r="L619"/>
      <c r="M619"/>
      <c r="N619"/>
    </row>
    <row r="620" spans="3:14" x14ac:dyDescent="0.25">
      <c r="C620"/>
      <c r="D620"/>
      <c r="E620"/>
      <c r="F620"/>
      <c r="G620"/>
      <c r="H620"/>
      <c r="I620"/>
      <c r="J620"/>
      <c r="K620"/>
      <c r="L620"/>
      <c r="M620"/>
      <c r="N620"/>
    </row>
    <row r="621" spans="3:14" x14ac:dyDescent="0.25">
      <c r="C621"/>
      <c r="D621"/>
      <c r="E621"/>
      <c r="F621"/>
      <c r="G621"/>
      <c r="H621"/>
      <c r="I621"/>
      <c r="J621"/>
      <c r="K621"/>
      <c r="L621"/>
      <c r="M621"/>
      <c r="N621"/>
    </row>
    <row r="622" spans="3:14" x14ac:dyDescent="0.25">
      <c r="C622"/>
      <c r="D622"/>
      <c r="E622"/>
      <c r="F622"/>
      <c r="G622"/>
      <c r="H622"/>
      <c r="I622"/>
      <c r="J622"/>
      <c r="K622"/>
      <c r="L622"/>
      <c r="M622"/>
      <c r="N622"/>
    </row>
    <row r="623" spans="3:14" x14ac:dyDescent="0.25">
      <c r="C623"/>
      <c r="D623"/>
      <c r="E623"/>
      <c r="F623"/>
      <c r="G623"/>
      <c r="H623"/>
      <c r="I623"/>
      <c r="J623"/>
      <c r="K623"/>
      <c r="L623"/>
      <c r="M623"/>
      <c r="N623"/>
    </row>
    <row r="624" spans="3:14" x14ac:dyDescent="0.25">
      <c r="C624"/>
      <c r="D624"/>
      <c r="E624"/>
      <c r="F624"/>
      <c r="G624"/>
      <c r="H624"/>
      <c r="I624"/>
      <c r="J624"/>
      <c r="K624"/>
      <c r="L624"/>
      <c r="M624"/>
      <c r="N624"/>
    </row>
    <row r="625" spans="1:14" x14ac:dyDescent="0.25">
      <c r="C625"/>
      <c r="D625"/>
      <c r="E625"/>
      <c r="F625"/>
      <c r="G625"/>
      <c r="H625"/>
      <c r="I625"/>
      <c r="J625"/>
      <c r="K625"/>
      <c r="L625"/>
      <c r="M625"/>
      <c r="N625"/>
    </row>
    <row r="626" spans="1:14" x14ac:dyDescent="0.25">
      <c r="C626"/>
      <c r="D626"/>
      <c r="E626"/>
      <c r="F626"/>
      <c r="G626"/>
      <c r="H626"/>
      <c r="I626"/>
      <c r="J626"/>
      <c r="K626"/>
      <c r="L626"/>
      <c r="M626"/>
      <c r="N626"/>
    </row>
    <row r="627" spans="1:14" x14ac:dyDescent="0.25">
      <c r="C627"/>
      <c r="D627"/>
      <c r="E627"/>
      <c r="F627"/>
      <c r="G627"/>
      <c r="H627"/>
      <c r="I627"/>
      <c r="J627"/>
      <c r="K627"/>
      <c r="L627"/>
      <c r="M627"/>
      <c r="N627"/>
    </row>
    <row r="628" spans="1:14" x14ac:dyDescent="0.25">
      <c r="C628"/>
      <c r="D628"/>
      <c r="E628"/>
      <c r="F628"/>
      <c r="G628"/>
      <c r="H628"/>
      <c r="I628"/>
      <c r="J628"/>
      <c r="K628"/>
      <c r="L628"/>
      <c r="M628"/>
      <c r="N628"/>
    </row>
    <row r="629" spans="1:14" x14ac:dyDescent="0.25">
      <c r="C629"/>
      <c r="D629"/>
      <c r="E629"/>
      <c r="F629"/>
      <c r="G629"/>
      <c r="H629"/>
      <c r="I629"/>
      <c r="J629"/>
      <c r="K629"/>
      <c r="L629"/>
      <c r="M629"/>
      <c r="N629"/>
    </row>
    <row r="630" spans="1:14" x14ac:dyDescent="0.25">
      <c r="C630"/>
      <c r="D630"/>
      <c r="E630"/>
      <c r="F630"/>
      <c r="G630"/>
      <c r="H630"/>
      <c r="I630"/>
      <c r="J630"/>
      <c r="K630"/>
      <c r="L630"/>
      <c r="M630"/>
      <c r="N630"/>
    </row>
    <row r="631" spans="1:14" x14ac:dyDescent="0.25">
      <c r="C631"/>
      <c r="D631"/>
      <c r="E631"/>
      <c r="F631"/>
      <c r="G631"/>
      <c r="H631"/>
      <c r="I631"/>
      <c r="J631"/>
      <c r="K631"/>
      <c r="L631"/>
      <c r="M631"/>
      <c r="N631"/>
    </row>
    <row r="632" spans="1:14" x14ac:dyDescent="0.25">
      <c r="C632"/>
      <c r="D632"/>
      <c r="E632"/>
      <c r="F632"/>
      <c r="G632"/>
      <c r="H632"/>
      <c r="I632"/>
      <c r="J632"/>
      <c r="K632"/>
      <c r="L632"/>
      <c r="M632"/>
      <c r="N632"/>
    </row>
    <row r="633" spans="1:14" x14ac:dyDescent="0.25">
      <c r="C633"/>
      <c r="D633"/>
      <c r="E633"/>
      <c r="F633"/>
      <c r="G633"/>
      <c r="H633"/>
      <c r="I633"/>
      <c r="J633"/>
      <c r="K633"/>
      <c r="L633"/>
      <c r="M633"/>
      <c r="N633"/>
    </row>
    <row r="634" spans="1:14" x14ac:dyDescent="0.25">
      <c r="A634" s="19"/>
      <c r="C634"/>
      <c r="D634"/>
      <c r="E634"/>
      <c r="F634"/>
      <c r="G634"/>
      <c r="H634"/>
      <c r="I634"/>
      <c r="J634"/>
      <c r="K634"/>
      <c r="L634"/>
      <c r="M634"/>
      <c r="N634"/>
    </row>
    <row r="635" spans="1:14" x14ac:dyDescent="0.25">
      <c r="A635" s="19"/>
      <c r="C635"/>
      <c r="D635"/>
      <c r="E635"/>
      <c r="F635"/>
      <c r="G635"/>
      <c r="H635"/>
      <c r="I635"/>
      <c r="J635"/>
      <c r="K635"/>
      <c r="L635"/>
      <c r="M635"/>
      <c r="N635"/>
    </row>
    <row r="636" spans="1:14" x14ac:dyDescent="0.25">
      <c r="A636" s="19"/>
      <c r="C636"/>
      <c r="D636"/>
      <c r="E636"/>
      <c r="F636"/>
      <c r="G636"/>
      <c r="H636"/>
      <c r="I636"/>
      <c r="J636"/>
      <c r="K636"/>
      <c r="L636"/>
      <c r="M636"/>
      <c r="N636"/>
    </row>
    <row r="637" spans="1:14" x14ac:dyDescent="0.25">
      <c r="A637" s="19"/>
      <c r="C637"/>
      <c r="D637"/>
      <c r="E637"/>
      <c r="F637"/>
      <c r="G637"/>
      <c r="H637"/>
      <c r="I637"/>
      <c r="J637"/>
      <c r="K637"/>
      <c r="L637"/>
      <c r="M637"/>
      <c r="N637"/>
    </row>
    <row r="638" spans="1:14" x14ac:dyDescent="0.25">
      <c r="A638" s="19"/>
      <c r="C638"/>
      <c r="D638"/>
      <c r="E638"/>
      <c r="F638"/>
      <c r="G638"/>
      <c r="H638"/>
      <c r="I638"/>
      <c r="J638"/>
      <c r="K638"/>
      <c r="L638"/>
      <c r="M638"/>
      <c r="N638"/>
    </row>
    <row r="639" spans="1:14" x14ac:dyDescent="0.25">
      <c r="A639" s="19"/>
      <c r="C639"/>
      <c r="D639"/>
      <c r="E639"/>
      <c r="F639"/>
      <c r="G639"/>
      <c r="H639"/>
      <c r="I639"/>
      <c r="J639"/>
      <c r="K639"/>
      <c r="L639"/>
      <c r="M639"/>
      <c r="N639"/>
    </row>
    <row r="640" spans="1:14" x14ac:dyDescent="0.25">
      <c r="A640" s="19"/>
      <c r="C640"/>
      <c r="D640"/>
      <c r="E640"/>
      <c r="F640"/>
      <c r="G640"/>
      <c r="H640"/>
      <c r="I640"/>
      <c r="J640"/>
      <c r="K640"/>
      <c r="L640"/>
      <c r="M640"/>
      <c r="N640"/>
    </row>
    <row r="641" spans="1:14" x14ac:dyDescent="0.25">
      <c r="C641"/>
      <c r="D641"/>
      <c r="E641"/>
      <c r="F641"/>
      <c r="G641"/>
      <c r="H641"/>
      <c r="I641"/>
      <c r="J641"/>
      <c r="K641"/>
      <c r="L641"/>
      <c r="M641"/>
      <c r="N641"/>
    </row>
    <row r="642" spans="1:14" x14ac:dyDescent="0.25">
      <c r="A642" s="19"/>
      <c r="C642"/>
      <c r="D642"/>
      <c r="E642"/>
      <c r="F642"/>
      <c r="G642"/>
      <c r="H642"/>
      <c r="I642"/>
      <c r="J642"/>
      <c r="K642"/>
      <c r="L642"/>
      <c r="M642"/>
      <c r="N642"/>
    </row>
    <row r="643" spans="1:14" x14ac:dyDescent="0.25">
      <c r="A643" s="19"/>
      <c r="C643"/>
      <c r="D643"/>
      <c r="E643"/>
      <c r="F643"/>
      <c r="G643"/>
      <c r="H643"/>
      <c r="I643"/>
      <c r="J643"/>
      <c r="K643"/>
      <c r="L643"/>
      <c r="M643"/>
      <c r="N643"/>
    </row>
    <row r="644" spans="1:14" x14ac:dyDescent="0.25">
      <c r="A644" s="19"/>
      <c r="C644"/>
      <c r="D644"/>
      <c r="E644"/>
      <c r="F644"/>
      <c r="G644"/>
      <c r="H644"/>
      <c r="I644"/>
      <c r="J644"/>
      <c r="K644"/>
      <c r="L644"/>
      <c r="M644"/>
      <c r="N644"/>
    </row>
    <row r="645" spans="1:14" x14ac:dyDescent="0.25">
      <c r="A645" s="19"/>
      <c r="C645"/>
      <c r="D645"/>
      <c r="E645"/>
      <c r="F645"/>
      <c r="G645"/>
      <c r="H645"/>
      <c r="I645"/>
      <c r="J645"/>
      <c r="K645"/>
      <c r="L645"/>
      <c r="M645"/>
      <c r="N645"/>
    </row>
    <row r="646" spans="1:14" x14ac:dyDescent="0.25">
      <c r="A646" s="19"/>
      <c r="C646"/>
      <c r="D646"/>
      <c r="E646"/>
      <c r="F646"/>
      <c r="G646"/>
      <c r="H646"/>
      <c r="I646"/>
      <c r="J646"/>
      <c r="K646"/>
      <c r="L646"/>
      <c r="M646"/>
      <c r="N646"/>
    </row>
    <row r="647" spans="1:14" x14ac:dyDescent="0.25">
      <c r="A647" s="19"/>
      <c r="C647"/>
      <c r="D647"/>
      <c r="E647"/>
      <c r="F647"/>
      <c r="G647"/>
      <c r="H647"/>
      <c r="I647"/>
      <c r="J647"/>
      <c r="K647"/>
      <c r="L647"/>
      <c r="M647"/>
      <c r="N647"/>
    </row>
    <row r="648" spans="1:14" x14ac:dyDescent="0.25">
      <c r="A648" s="19"/>
      <c r="C648"/>
      <c r="D648"/>
      <c r="E648"/>
      <c r="F648"/>
      <c r="G648"/>
      <c r="H648"/>
      <c r="I648"/>
      <c r="J648"/>
      <c r="K648"/>
      <c r="L648"/>
      <c r="M648"/>
      <c r="N648"/>
    </row>
    <row r="649" spans="1:14" x14ac:dyDescent="0.25">
      <c r="A649" s="19"/>
      <c r="C649"/>
      <c r="D649"/>
      <c r="E649"/>
      <c r="F649"/>
      <c r="G649"/>
      <c r="H649"/>
      <c r="I649"/>
      <c r="J649"/>
      <c r="K649"/>
      <c r="L649"/>
      <c r="M649"/>
      <c r="N649"/>
    </row>
    <row r="650" spans="1:14" x14ac:dyDescent="0.25">
      <c r="A650" s="19"/>
      <c r="C650"/>
      <c r="D650"/>
      <c r="E650"/>
      <c r="F650"/>
      <c r="G650"/>
      <c r="H650"/>
      <c r="I650"/>
      <c r="J650"/>
      <c r="K650"/>
      <c r="L650"/>
      <c r="M650"/>
      <c r="N650"/>
    </row>
    <row r="651" spans="1:14" x14ac:dyDescent="0.25">
      <c r="A651" s="19"/>
      <c r="C651"/>
      <c r="D651"/>
      <c r="E651"/>
      <c r="F651"/>
      <c r="G651"/>
      <c r="H651"/>
      <c r="I651"/>
      <c r="J651"/>
      <c r="K651"/>
      <c r="L651"/>
      <c r="M651"/>
      <c r="N651"/>
    </row>
    <row r="652" spans="1:14" x14ac:dyDescent="0.25">
      <c r="A652" s="19"/>
      <c r="C652"/>
      <c r="D652"/>
      <c r="E652"/>
      <c r="F652"/>
      <c r="G652"/>
      <c r="H652"/>
      <c r="I652"/>
      <c r="J652"/>
      <c r="K652"/>
      <c r="L652"/>
      <c r="M652"/>
      <c r="N652"/>
    </row>
    <row r="653" spans="1:14" x14ac:dyDescent="0.25">
      <c r="A653" s="19"/>
      <c r="C653"/>
      <c r="D653"/>
      <c r="E653"/>
      <c r="F653"/>
      <c r="G653"/>
      <c r="H653"/>
      <c r="I653"/>
      <c r="J653"/>
      <c r="K653"/>
      <c r="L653"/>
      <c r="M653"/>
      <c r="N653"/>
    </row>
    <row r="654" spans="1:14" x14ac:dyDescent="0.25">
      <c r="A654" s="19"/>
      <c r="C654"/>
      <c r="D654"/>
      <c r="E654"/>
      <c r="F654"/>
      <c r="G654"/>
      <c r="H654"/>
      <c r="I654"/>
      <c r="J654"/>
      <c r="K654"/>
      <c r="L654"/>
      <c r="M654"/>
      <c r="N654"/>
    </row>
    <row r="655" spans="1:14" x14ac:dyDescent="0.25">
      <c r="A655" s="19"/>
      <c r="C655"/>
      <c r="D655"/>
      <c r="E655"/>
      <c r="F655"/>
      <c r="G655"/>
      <c r="H655"/>
      <c r="I655"/>
      <c r="J655"/>
      <c r="K655"/>
      <c r="L655"/>
      <c r="M655"/>
      <c r="N655"/>
    </row>
    <row r="656" spans="1:14" x14ac:dyDescent="0.25">
      <c r="A656" s="19"/>
      <c r="C656"/>
      <c r="D656"/>
      <c r="E656"/>
      <c r="F656"/>
      <c r="G656"/>
      <c r="H656"/>
      <c r="I656"/>
      <c r="J656"/>
      <c r="K656"/>
      <c r="L656"/>
      <c r="M656"/>
      <c r="N656"/>
    </row>
    <row r="657" spans="1:14" x14ac:dyDescent="0.25">
      <c r="A657" s="19"/>
      <c r="C657"/>
      <c r="D657"/>
      <c r="E657"/>
      <c r="F657"/>
      <c r="G657"/>
      <c r="H657"/>
      <c r="I657"/>
      <c r="J657"/>
      <c r="K657"/>
      <c r="L657"/>
      <c r="M657"/>
      <c r="N657"/>
    </row>
    <row r="658" spans="1:14" x14ac:dyDescent="0.25">
      <c r="A658" s="19"/>
      <c r="C658"/>
      <c r="D658"/>
      <c r="E658"/>
      <c r="F658"/>
      <c r="G658"/>
      <c r="H658"/>
      <c r="I658"/>
      <c r="J658"/>
      <c r="K658"/>
      <c r="L658"/>
      <c r="M658"/>
      <c r="N658"/>
    </row>
    <row r="659" spans="1:14" x14ac:dyDescent="0.25">
      <c r="A659" s="19"/>
      <c r="C659"/>
      <c r="D659"/>
      <c r="E659"/>
      <c r="F659"/>
      <c r="G659"/>
      <c r="H659"/>
      <c r="I659"/>
      <c r="J659"/>
      <c r="K659"/>
      <c r="L659"/>
      <c r="M659"/>
      <c r="N659"/>
    </row>
    <row r="660" spans="1:14" x14ac:dyDescent="0.25">
      <c r="A660" s="19"/>
      <c r="C660"/>
      <c r="D660"/>
      <c r="E660"/>
      <c r="F660"/>
      <c r="G660"/>
      <c r="H660"/>
      <c r="I660"/>
      <c r="J660"/>
      <c r="K660"/>
      <c r="L660"/>
      <c r="M660"/>
      <c r="N660"/>
    </row>
    <row r="661" spans="1:14" x14ac:dyDescent="0.25">
      <c r="A661" s="19"/>
      <c r="C661"/>
      <c r="D661"/>
      <c r="E661"/>
      <c r="F661"/>
      <c r="G661"/>
      <c r="H661"/>
      <c r="I661"/>
      <c r="J661"/>
      <c r="K661"/>
      <c r="L661"/>
      <c r="M661"/>
      <c r="N661"/>
    </row>
    <row r="662" spans="1:14" x14ac:dyDescent="0.25">
      <c r="A662" s="19"/>
      <c r="C662"/>
      <c r="D662"/>
      <c r="E662"/>
      <c r="F662"/>
      <c r="G662"/>
      <c r="H662"/>
      <c r="I662"/>
      <c r="J662"/>
      <c r="K662"/>
      <c r="L662"/>
      <c r="M662"/>
      <c r="N662"/>
    </row>
    <row r="663" spans="1:14" x14ac:dyDescent="0.25">
      <c r="A663" s="19"/>
      <c r="C663"/>
      <c r="D663"/>
      <c r="E663"/>
      <c r="F663"/>
      <c r="G663"/>
      <c r="H663"/>
      <c r="I663"/>
      <c r="J663"/>
      <c r="K663"/>
      <c r="L663"/>
      <c r="M663"/>
      <c r="N663"/>
    </row>
    <row r="664" spans="1:14" x14ac:dyDescent="0.25">
      <c r="A664" s="19"/>
      <c r="C664"/>
      <c r="D664"/>
      <c r="E664"/>
      <c r="F664"/>
      <c r="G664"/>
      <c r="H664"/>
      <c r="I664"/>
      <c r="J664"/>
      <c r="K664"/>
      <c r="L664"/>
      <c r="M664"/>
      <c r="N664"/>
    </row>
    <row r="665" spans="1:14" x14ac:dyDescent="0.25">
      <c r="A665" s="19"/>
      <c r="C665"/>
      <c r="D665"/>
      <c r="E665"/>
      <c r="F665"/>
      <c r="G665"/>
      <c r="H665"/>
      <c r="I665"/>
      <c r="J665"/>
      <c r="K665"/>
      <c r="L665"/>
      <c r="M665"/>
      <c r="N665"/>
    </row>
    <row r="666" spans="1:14" x14ac:dyDescent="0.25">
      <c r="A666" s="19"/>
      <c r="C666"/>
      <c r="D666"/>
      <c r="E666"/>
      <c r="F666"/>
      <c r="G666"/>
      <c r="H666"/>
      <c r="I666"/>
      <c r="J666"/>
      <c r="K666"/>
      <c r="L666"/>
      <c r="M666"/>
      <c r="N666"/>
    </row>
    <row r="667" spans="1:14" x14ac:dyDescent="0.25">
      <c r="A667" s="19"/>
      <c r="C667"/>
      <c r="D667"/>
      <c r="E667"/>
      <c r="F667"/>
      <c r="G667"/>
      <c r="H667"/>
      <c r="I667"/>
      <c r="J667"/>
      <c r="K667"/>
      <c r="L667"/>
      <c r="M667"/>
      <c r="N667"/>
    </row>
    <row r="668" spans="1:14" x14ac:dyDescent="0.25">
      <c r="A668" s="19"/>
      <c r="C668"/>
      <c r="D668"/>
      <c r="E668"/>
      <c r="F668"/>
      <c r="G668"/>
      <c r="H668"/>
      <c r="I668"/>
      <c r="J668"/>
      <c r="K668"/>
      <c r="L668"/>
      <c r="M668"/>
      <c r="N668"/>
    </row>
    <row r="669" spans="1:14" x14ac:dyDescent="0.25">
      <c r="A669" s="19"/>
      <c r="C669"/>
      <c r="D669"/>
      <c r="E669"/>
      <c r="F669"/>
      <c r="G669"/>
      <c r="H669"/>
      <c r="I669"/>
      <c r="J669"/>
      <c r="K669"/>
      <c r="L669"/>
      <c r="M669"/>
      <c r="N669"/>
    </row>
    <row r="670" spans="1:14" x14ac:dyDescent="0.25">
      <c r="A670" s="19"/>
      <c r="C670"/>
      <c r="D670"/>
      <c r="E670"/>
      <c r="F670"/>
      <c r="G670"/>
      <c r="H670"/>
      <c r="I670"/>
      <c r="J670"/>
      <c r="K670"/>
      <c r="L670"/>
      <c r="M670"/>
      <c r="N670"/>
    </row>
    <row r="671" spans="1:14" x14ac:dyDescent="0.25">
      <c r="A671" s="19"/>
      <c r="C671"/>
      <c r="D671"/>
      <c r="E671"/>
      <c r="F671"/>
      <c r="G671"/>
      <c r="H671"/>
      <c r="I671"/>
      <c r="J671"/>
      <c r="K671"/>
      <c r="L671"/>
      <c r="M671"/>
      <c r="N671"/>
    </row>
    <row r="672" spans="1:14" x14ac:dyDescent="0.25">
      <c r="A672" s="19"/>
      <c r="C672"/>
      <c r="D672"/>
      <c r="E672"/>
      <c r="F672"/>
      <c r="G672"/>
      <c r="H672"/>
      <c r="I672"/>
      <c r="J672"/>
      <c r="K672"/>
      <c r="L672"/>
      <c r="M672"/>
      <c r="N672"/>
    </row>
    <row r="673" spans="1:14" x14ac:dyDescent="0.25">
      <c r="A673" s="19"/>
      <c r="C673"/>
      <c r="D673"/>
      <c r="E673"/>
      <c r="F673"/>
      <c r="G673"/>
      <c r="H673"/>
      <c r="I673"/>
      <c r="J673"/>
      <c r="K673"/>
      <c r="L673"/>
      <c r="M673"/>
      <c r="N673"/>
    </row>
    <row r="674" spans="1:14" x14ac:dyDescent="0.25">
      <c r="A674" s="19"/>
      <c r="C674"/>
      <c r="D674"/>
      <c r="E674"/>
      <c r="F674"/>
      <c r="G674"/>
      <c r="H674"/>
      <c r="I674"/>
      <c r="J674"/>
      <c r="K674"/>
      <c r="L674"/>
      <c r="M674"/>
      <c r="N674"/>
    </row>
    <row r="675" spans="1:14" x14ac:dyDescent="0.25">
      <c r="A675" s="19"/>
      <c r="C675"/>
      <c r="D675"/>
      <c r="E675"/>
      <c r="F675"/>
      <c r="G675"/>
      <c r="H675"/>
      <c r="I675"/>
      <c r="J675"/>
      <c r="K675"/>
      <c r="L675"/>
      <c r="M675"/>
      <c r="N675"/>
    </row>
    <row r="676" spans="1:14" x14ac:dyDescent="0.25">
      <c r="A676" s="19"/>
      <c r="C676"/>
      <c r="D676"/>
      <c r="E676"/>
      <c r="F676"/>
      <c r="G676"/>
      <c r="H676"/>
      <c r="I676"/>
      <c r="J676"/>
      <c r="K676"/>
      <c r="L676"/>
      <c r="M676"/>
      <c r="N676"/>
    </row>
    <row r="677" spans="1:14" x14ac:dyDescent="0.25">
      <c r="A677" s="19"/>
      <c r="C677"/>
      <c r="D677"/>
      <c r="E677"/>
      <c r="F677"/>
      <c r="G677"/>
      <c r="H677"/>
      <c r="I677"/>
      <c r="J677"/>
      <c r="K677"/>
      <c r="L677"/>
      <c r="M677"/>
      <c r="N677"/>
    </row>
    <row r="678" spans="1:14" x14ac:dyDescent="0.25">
      <c r="A678" s="19"/>
      <c r="C678"/>
      <c r="D678"/>
      <c r="E678"/>
      <c r="F678"/>
      <c r="G678"/>
      <c r="H678"/>
      <c r="I678"/>
      <c r="J678"/>
      <c r="K678"/>
      <c r="L678"/>
      <c r="M678"/>
      <c r="N678"/>
    </row>
    <row r="679" spans="1:14" x14ac:dyDescent="0.25">
      <c r="A679" s="19"/>
      <c r="C679"/>
      <c r="D679"/>
      <c r="E679"/>
      <c r="F679"/>
      <c r="G679"/>
      <c r="H679"/>
      <c r="I679"/>
      <c r="J679"/>
      <c r="K679"/>
      <c r="L679"/>
      <c r="M679"/>
      <c r="N679"/>
    </row>
    <row r="680" spans="1:14" x14ac:dyDescent="0.25">
      <c r="A680" s="19"/>
      <c r="C680"/>
      <c r="D680"/>
      <c r="E680"/>
      <c r="F680"/>
      <c r="G680"/>
      <c r="H680"/>
      <c r="I680"/>
      <c r="J680"/>
      <c r="K680"/>
      <c r="L680"/>
      <c r="M680"/>
      <c r="N680"/>
    </row>
    <row r="681" spans="1:14" x14ac:dyDescent="0.25">
      <c r="A681" s="19"/>
      <c r="C681"/>
      <c r="D681"/>
      <c r="E681"/>
      <c r="F681"/>
      <c r="G681"/>
      <c r="H681"/>
      <c r="I681"/>
      <c r="J681"/>
      <c r="K681"/>
      <c r="L681"/>
      <c r="M681"/>
      <c r="N681"/>
    </row>
    <row r="682" spans="1:14" x14ac:dyDescent="0.25">
      <c r="A682" s="19"/>
      <c r="C682"/>
      <c r="D682"/>
      <c r="E682"/>
      <c r="F682"/>
      <c r="G682"/>
      <c r="H682"/>
      <c r="I682"/>
      <c r="J682"/>
      <c r="K682"/>
      <c r="L682"/>
      <c r="M682"/>
      <c r="N682"/>
    </row>
    <row r="683" spans="1:14" x14ac:dyDescent="0.25">
      <c r="A683" s="19"/>
      <c r="C683"/>
      <c r="D683"/>
      <c r="E683"/>
      <c r="F683"/>
      <c r="G683"/>
      <c r="H683"/>
      <c r="I683"/>
      <c r="J683"/>
      <c r="K683"/>
      <c r="L683"/>
      <c r="M683"/>
      <c r="N683"/>
    </row>
    <row r="684" spans="1:14" x14ac:dyDescent="0.25">
      <c r="A684" s="19"/>
      <c r="C684"/>
      <c r="D684"/>
      <c r="E684"/>
      <c r="F684"/>
      <c r="G684"/>
      <c r="H684"/>
      <c r="I684"/>
      <c r="J684"/>
      <c r="K684"/>
      <c r="L684"/>
      <c r="M684"/>
      <c r="N684"/>
    </row>
    <row r="685" spans="1:14" x14ac:dyDescent="0.25">
      <c r="A685" s="19"/>
      <c r="C685"/>
      <c r="D685"/>
      <c r="E685"/>
      <c r="F685"/>
      <c r="G685"/>
      <c r="H685"/>
      <c r="I685"/>
      <c r="J685"/>
      <c r="K685"/>
      <c r="L685"/>
      <c r="M685"/>
      <c r="N685"/>
    </row>
    <row r="686" spans="1:14" x14ac:dyDescent="0.25">
      <c r="A686" s="19"/>
      <c r="C686"/>
      <c r="D686"/>
      <c r="E686"/>
      <c r="F686"/>
      <c r="G686"/>
      <c r="H686"/>
      <c r="I686"/>
      <c r="J686"/>
      <c r="K686"/>
      <c r="L686"/>
      <c r="M686"/>
      <c r="N686"/>
    </row>
    <row r="687" spans="1:14" x14ac:dyDescent="0.25">
      <c r="A687" s="19"/>
      <c r="C687"/>
      <c r="D687"/>
      <c r="E687"/>
      <c r="F687"/>
      <c r="G687"/>
      <c r="H687"/>
      <c r="I687"/>
      <c r="J687"/>
      <c r="K687"/>
      <c r="L687"/>
      <c r="M687"/>
      <c r="N687"/>
    </row>
    <row r="688" spans="1:14" x14ac:dyDescent="0.25">
      <c r="A688" s="19"/>
      <c r="C688"/>
      <c r="D688"/>
      <c r="E688"/>
      <c r="F688"/>
      <c r="G688"/>
      <c r="H688"/>
      <c r="I688"/>
      <c r="J688"/>
      <c r="K688"/>
      <c r="L688"/>
      <c r="M688"/>
      <c r="N688"/>
    </row>
    <row r="689" spans="1:14" x14ac:dyDescent="0.25">
      <c r="A689" s="19"/>
      <c r="C689"/>
      <c r="D689"/>
      <c r="E689"/>
      <c r="F689"/>
      <c r="G689"/>
      <c r="H689"/>
      <c r="I689"/>
      <c r="J689"/>
      <c r="K689"/>
      <c r="L689"/>
      <c r="M689"/>
      <c r="N689"/>
    </row>
    <row r="690" spans="1:14" x14ac:dyDescent="0.25">
      <c r="A690" s="19"/>
      <c r="C690"/>
      <c r="D690"/>
      <c r="E690"/>
      <c r="F690"/>
      <c r="G690"/>
      <c r="H690"/>
      <c r="I690"/>
      <c r="J690"/>
      <c r="K690"/>
      <c r="L690"/>
      <c r="M690"/>
      <c r="N690"/>
    </row>
    <row r="691" spans="1:14" x14ac:dyDescent="0.25">
      <c r="C691" s="29"/>
      <c r="E691" s="30"/>
      <c r="M691"/>
      <c r="N691"/>
    </row>
    <row r="692" spans="1:14" x14ac:dyDescent="0.25">
      <c r="C692" s="29"/>
      <c r="E692" s="30"/>
      <c r="M692"/>
      <c r="N692"/>
    </row>
    <row r="693" spans="1:14" x14ac:dyDescent="0.25">
      <c r="C693" s="29"/>
      <c r="E693" s="30"/>
      <c r="M693"/>
      <c r="N693"/>
    </row>
    <row r="694" spans="1:14" x14ac:dyDescent="0.25">
      <c r="C694" s="29"/>
      <c r="E694" s="30"/>
      <c r="M694"/>
      <c r="N694"/>
    </row>
    <row r="695" spans="1:14" x14ac:dyDescent="0.25">
      <c r="C695" s="29"/>
      <c r="E695" s="30"/>
      <c r="M695"/>
      <c r="N695"/>
    </row>
    <row r="696" spans="1:14" x14ac:dyDescent="0.25">
      <c r="C696" s="29"/>
      <c r="E696" s="30"/>
      <c r="M696"/>
      <c r="N696"/>
    </row>
    <row r="697" spans="1:14" x14ac:dyDescent="0.25">
      <c r="C697" s="29"/>
      <c r="E697" s="30"/>
      <c r="M697"/>
      <c r="N697"/>
    </row>
    <row r="698" spans="1:14" x14ac:dyDescent="0.25">
      <c r="C698" s="29"/>
      <c r="E698" s="30"/>
      <c r="M698"/>
      <c r="N698"/>
    </row>
    <row r="699" spans="1:14" x14ac:dyDescent="0.25">
      <c r="C699" s="29"/>
      <c r="E699" s="30"/>
      <c r="M699"/>
      <c r="N699"/>
    </row>
    <row r="700" spans="1:14" x14ac:dyDescent="0.25">
      <c r="C700" s="29"/>
      <c r="E700" s="30"/>
      <c r="M700"/>
      <c r="N700"/>
    </row>
    <row r="701" spans="1:14" x14ac:dyDescent="0.25">
      <c r="C701" s="29"/>
      <c r="E701" s="30"/>
      <c r="M701"/>
      <c r="N701"/>
    </row>
    <row r="702" spans="1:14" x14ac:dyDescent="0.25">
      <c r="C702" s="29"/>
      <c r="E702" s="30"/>
      <c r="M702"/>
      <c r="N702"/>
    </row>
    <row r="703" spans="1:14" x14ac:dyDescent="0.25">
      <c r="C703" s="29"/>
      <c r="E703" s="30"/>
      <c r="M703"/>
      <c r="N703"/>
    </row>
    <row r="704" spans="1:14" x14ac:dyDescent="0.25">
      <c r="C704" s="29"/>
      <c r="E704" s="30"/>
      <c r="M704"/>
      <c r="N704"/>
    </row>
    <row r="705" spans="3:14" x14ac:dyDescent="0.25">
      <c r="C705" s="29"/>
      <c r="E705" s="30"/>
      <c r="M705"/>
      <c r="N705"/>
    </row>
    <row r="706" spans="3:14" x14ac:dyDescent="0.25">
      <c r="C706" s="29"/>
      <c r="E706" s="30"/>
      <c r="M706"/>
      <c r="N706"/>
    </row>
    <row r="707" spans="3:14" x14ac:dyDescent="0.25">
      <c r="C707" s="29"/>
      <c r="E707" s="30"/>
      <c r="M707"/>
      <c r="N707"/>
    </row>
    <row r="708" spans="3:14" x14ac:dyDescent="0.25">
      <c r="C708" s="29"/>
      <c r="E708" s="30"/>
      <c r="M708"/>
      <c r="N708"/>
    </row>
    <row r="709" spans="3:14" x14ac:dyDescent="0.25">
      <c r="C709" s="29"/>
      <c r="E709" s="30"/>
      <c r="M709"/>
      <c r="N709"/>
    </row>
    <row r="710" spans="3:14" x14ac:dyDescent="0.25">
      <c r="C710" s="29"/>
      <c r="E710" s="30"/>
      <c r="M710"/>
      <c r="N710"/>
    </row>
    <row r="711" spans="3:14" x14ac:dyDescent="0.25">
      <c r="C711" s="29"/>
      <c r="E711" s="30"/>
      <c r="M711"/>
      <c r="N711"/>
    </row>
    <row r="712" spans="3:14" x14ac:dyDescent="0.25">
      <c r="C712" s="29"/>
      <c r="E712" s="30"/>
      <c r="M712"/>
      <c r="N712"/>
    </row>
    <row r="713" spans="3:14" x14ac:dyDescent="0.25">
      <c r="C713" s="29"/>
      <c r="E713" s="30"/>
      <c r="M713"/>
      <c r="N713"/>
    </row>
    <row r="714" spans="3:14" x14ac:dyDescent="0.25">
      <c r="C714" s="29"/>
      <c r="E714" s="30"/>
      <c r="M714"/>
      <c r="N714"/>
    </row>
    <row r="715" spans="3:14" x14ac:dyDescent="0.25">
      <c r="C715" s="29"/>
      <c r="E715" s="30"/>
      <c r="M715"/>
      <c r="N715"/>
    </row>
    <row r="716" spans="3:14" x14ac:dyDescent="0.25">
      <c r="C716" s="29"/>
      <c r="E716" s="30"/>
      <c r="M716"/>
      <c r="N716"/>
    </row>
    <row r="717" spans="3:14" x14ac:dyDescent="0.25">
      <c r="C717" s="29"/>
      <c r="E717" s="30"/>
      <c r="M717"/>
      <c r="N717"/>
    </row>
    <row r="718" spans="3:14" x14ac:dyDescent="0.25">
      <c r="C718" s="29"/>
      <c r="E718" s="30"/>
      <c r="M718"/>
      <c r="N718"/>
    </row>
    <row r="719" spans="3:14" x14ac:dyDescent="0.25">
      <c r="C719" s="29"/>
      <c r="E719" s="30"/>
      <c r="M719"/>
      <c r="N719"/>
    </row>
    <row r="720" spans="3:14" x14ac:dyDescent="0.25">
      <c r="C720" s="29"/>
      <c r="E720" s="30"/>
      <c r="M720"/>
      <c r="N720"/>
    </row>
    <row r="721" spans="3:14" x14ac:dyDescent="0.25">
      <c r="C721" s="29"/>
      <c r="E721" s="30"/>
      <c r="M721"/>
      <c r="N721"/>
    </row>
    <row r="722" spans="3:14" x14ac:dyDescent="0.25">
      <c r="C722" s="29"/>
      <c r="E722" s="30"/>
      <c r="M722"/>
      <c r="N722"/>
    </row>
    <row r="723" spans="3:14" x14ac:dyDescent="0.25">
      <c r="C723" s="29"/>
      <c r="E723" s="30"/>
      <c r="M723"/>
      <c r="N723"/>
    </row>
    <row r="724" spans="3:14" x14ac:dyDescent="0.25">
      <c r="C724" s="29"/>
      <c r="E724" s="30"/>
      <c r="M724"/>
      <c r="N724"/>
    </row>
    <row r="725" spans="3:14" x14ac:dyDescent="0.25">
      <c r="C725" s="29"/>
      <c r="E725" s="30"/>
      <c r="M725"/>
      <c r="N725"/>
    </row>
    <row r="726" spans="3:14" x14ac:dyDescent="0.25">
      <c r="C726" s="29"/>
      <c r="E726" s="30"/>
      <c r="M726"/>
      <c r="N726"/>
    </row>
    <row r="727" spans="3:14" x14ac:dyDescent="0.25">
      <c r="C727" s="29"/>
      <c r="E727" s="30"/>
      <c r="M727"/>
      <c r="N727"/>
    </row>
    <row r="728" spans="3:14" x14ac:dyDescent="0.25">
      <c r="C728" s="29"/>
      <c r="E728" s="30"/>
      <c r="M728"/>
      <c r="N728"/>
    </row>
    <row r="729" spans="3:14" x14ac:dyDescent="0.25">
      <c r="C729" s="29"/>
      <c r="E729" s="30"/>
      <c r="M729"/>
      <c r="N729"/>
    </row>
    <row r="730" spans="3:14" x14ac:dyDescent="0.25">
      <c r="C730" s="29"/>
      <c r="E730" s="30"/>
      <c r="M730"/>
      <c r="N730"/>
    </row>
    <row r="731" spans="3:14" x14ac:dyDescent="0.25">
      <c r="C731" s="29"/>
      <c r="E731" s="30"/>
      <c r="M731"/>
      <c r="N731"/>
    </row>
    <row r="732" spans="3:14" x14ac:dyDescent="0.25">
      <c r="C732" s="29"/>
      <c r="E732" s="30"/>
      <c r="M732"/>
      <c r="N732"/>
    </row>
    <row r="733" spans="3:14" x14ac:dyDescent="0.25">
      <c r="C733" s="29"/>
      <c r="E733" s="30"/>
      <c r="M733"/>
      <c r="N733"/>
    </row>
    <row r="734" spans="3:14" x14ac:dyDescent="0.25">
      <c r="C734" s="29"/>
      <c r="E734" s="30"/>
      <c r="M734"/>
      <c r="N734"/>
    </row>
    <row r="735" spans="3:14" x14ac:dyDescent="0.25">
      <c r="C735" s="29"/>
      <c r="E735" s="30"/>
      <c r="M735"/>
      <c r="N735"/>
    </row>
    <row r="736" spans="3:14" x14ac:dyDescent="0.25">
      <c r="C736" s="29"/>
      <c r="E736" s="30"/>
      <c r="M736"/>
      <c r="N736"/>
    </row>
    <row r="737" spans="1:14" x14ac:dyDescent="0.25">
      <c r="C737" s="29"/>
      <c r="E737" s="30"/>
      <c r="M737"/>
      <c r="N737"/>
    </row>
    <row r="738" spans="1:14" x14ac:dyDescent="0.25">
      <c r="C738" s="29"/>
      <c r="E738" s="30"/>
      <c r="M738"/>
      <c r="N738"/>
    </row>
    <row r="739" spans="1:14" x14ac:dyDescent="0.25">
      <c r="C739" s="36"/>
      <c r="E739" s="30"/>
      <c r="M739"/>
      <c r="N739"/>
    </row>
    <row r="740" spans="1:14" x14ac:dyDescent="0.25">
      <c r="C740" s="29"/>
      <c r="E740" s="30"/>
      <c r="M740"/>
      <c r="N740"/>
    </row>
    <row r="741" spans="1:14" x14ac:dyDescent="0.25">
      <c r="C741" s="29"/>
      <c r="E741" s="30"/>
      <c r="M741"/>
      <c r="N741"/>
    </row>
    <row r="742" spans="1:14" x14ac:dyDescent="0.25">
      <c r="C742" s="29"/>
      <c r="E742" s="30"/>
      <c r="M742"/>
      <c r="N742"/>
    </row>
    <row r="743" spans="1:14" x14ac:dyDescent="0.25">
      <c r="C743" s="29"/>
      <c r="E743" s="30"/>
      <c r="M743"/>
      <c r="N743"/>
    </row>
    <row r="744" spans="1:14" x14ac:dyDescent="0.25">
      <c r="C744" s="29"/>
      <c r="E744" s="30"/>
      <c r="M744"/>
      <c r="N744"/>
    </row>
    <row r="745" spans="1:14" x14ac:dyDescent="0.25">
      <c r="C745" s="29"/>
      <c r="E745" s="30"/>
      <c r="M745"/>
      <c r="N745"/>
    </row>
    <row r="746" spans="1:14" x14ac:dyDescent="0.25">
      <c r="C746" s="29"/>
      <c r="E746" s="30"/>
      <c r="M746"/>
      <c r="N746"/>
    </row>
    <row r="747" spans="1:14" x14ac:dyDescent="0.25">
      <c r="C747" s="29"/>
      <c r="E747" s="30"/>
      <c r="M747"/>
      <c r="N747"/>
    </row>
    <row r="748" spans="1:14" x14ac:dyDescent="0.25">
      <c r="C748"/>
      <c r="E748" s="30"/>
      <c r="M748"/>
      <c r="N748"/>
    </row>
    <row r="749" spans="1:14" x14ac:dyDescent="0.25">
      <c r="A749" s="19"/>
      <c r="C749" s="29"/>
      <c r="E749" s="30"/>
      <c r="M749"/>
    </row>
    <row r="750" spans="1:14" x14ac:dyDescent="0.25">
      <c r="M750"/>
    </row>
    <row r="751" spans="1:14" x14ac:dyDescent="0.25">
      <c r="M751"/>
    </row>
    <row r="755" spans="3:3" x14ac:dyDescent="0.25">
      <c r="C755" s="18"/>
    </row>
    <row r="756" spans="3:3" x14ac:dyDescent="0.25">
      <c r="C756" s="18"/>
    </row>
    <row r="757" spans="3:3" x14ac:dyDescent="0.25">
      <c r="C757" s="18"/>
    </row>
    <row r="758" spans="3:3" x14ac:dyDescent="0.25">
      <c r="C758" s="18"/>
    </row>
    <row r="759" spans="3:3" x14ac:dyDescent="0.25">
      <c r="C759" s="18"/>
    </row>
    <row r="760" spans="3:3" x14ac:dyDescent="0.25">
      <c r="C760" s="18"/>
    </row>
    <row r="761" spans="3:3" x14ac:dyDescent="0.25">
      <c r="C761" s="18"/>
    </row>
    <row r="762" spans="3:3" x14ac:dyDescent="0.25">
      <c r="C762" s="18"/>
    </row>
    <row r="763" spans="3:3" x14ac:dyDescent="0.25">
      <c r="C763" s="18"/>
    </row>
    <row r="764" spans="3:3" x14ac:dyDescent="0.25">
      <c r="C764" s="18"/>
    </row>
    <row r="765" spans="3:3" x14ac:dyDescent="0.25">
      <c r="C765" s="18"/>
    </row>
    <row r="790" spans="1:14" x14ac:dyDescent="0.25">
      <c r="C790" s="29"/>
      <c r="E790" s="30"/>
    </row>
    <row r="791" spans="1:14" x14ac:dyDescent="0.25">
      <c r="A791" s="19"/>
      <c r="B791" s="19"/>
      <c r="D791" s="19"/>
      <c r="E791" s="19"/>
      <c r="F791" s="19"/>
      <c r="G791" s="19"/>
      <c r="H791" s="19"/>
      <c r="I791" s="19"/>
      <c r="J791" s="19"/>
      <c r="K791" s="19"/>
      <c r="L791" s="19"/>
      <c r="M791" s="19"/>
      <c r="N791" s="19"/>
    </row>
    <row r="838" spans="1:15" x14ac:dyDescent="0.25">
      <c r="A838" s="19"/>
      <c r="C838" s="29"/>
      <c r="E838" s="30"/>
      <c r="K838" s="19"/>
      <c r="L838" s="19"/>
      <c r="M838" s="19"/>
      <c r="N838" s="19"/>
      <c r="O838" s="19"/>
    </row>
    <row r="840" spans="1:15" x14ac:dyDescent="0.25">
      <c r="A840" s="18" t="s">
        <v>70</v>
      </c>
    </row>
    <row r="843" spans="1:15" x14ac:dyDescent="0.25">
      <c r="C843" s="29"/>
      <c r="E843" s="30"/>
    </row>
    <row r="844" spans="1:15" x14ac:dyDescent="0.25">
      <c r="A844" s="19"/>
      <c r="C844" s="29"/>
      <c r="E844" s="30"/>
      <c r="L844" s="19"/>
      <c r="M844" s="19"/>
      <c r="N844" s="19"/>
      <c r="O844" s="19"/>
    </row>
    <row r="845" spans="1:15" x14ac:dyDescent="0.25">
      <c r="A845" s="19"/>
      <c r="B845" s="19"/>
      <c r="D845" s="19"/>
      <c r="E845" s="19"/>
      <c r="F845" s="19"/>
      <c r="G845" s="19"/>
      <c r="H845" s="19"/>
      <c r="I845" s="19"/>
      <c r="J845" s="19"/>
      <c r="K845" s="19"/>
      <c r="L845" s="19"/>
      <c r="M845" s="19"/>
      <c r="N845" s="19"/>
      <c r="O845" s="19"/>
    </row>
    <row r="846" spans="1:15" x14ac:dyDescent="0.25">
      <c r="A846" s="19"/>
      <c r="C846" s="29"/>
      <c r="E846" s="30"/>
      <c r="O846" s="19"/>
    </row>
    <row r="847" spans="1:15" x14ac:dyDescent="0.25">
      <c r="A847" s="19"/>
      <c r="C847" s="29"/>
      <c r="E847" s="30"/>
      <c r="O847" s="19"/>
    </row>
    <row r="848" spans="1:15" x14ac:dyDescent="0.25">
      <c r="A848" s="19"/>
      <c r="C848" s="29"/>
      <c r="E848" s="30"/>
      <c r="O848" s="19"/>
    </row>
    <row r="849" spans="1:15" x14ac:dyDescent="0.25">
      <c r="A849" s="19"/>
      <c r="C849" s="29"/>
      <c r="E849" s="30"/>
      <c r="O849" s="19"/>
    </row>
    <row r="850" spans="1:15" x14ac:dyDescent="0.25">
      <c r="A850" s="19"/>
      <c r="C850" s="29"/>
      <c r="E850" s="30"/>
      <c r="O850" s="19"/>
    </row>
    <row r="851" spans="1:15" x14ac:dyDescent="0.25">
      <c r="A851" s="19"/>
      <c r="C851" s="29"/>
      <c r="E851" s="30"/>
      <c r="O851" s="19"/>
    </row>
    <row r="852" spans="1:15" x14ac:dyDescent="0.25">
      <c r="A852" s="19"/>
      <c r="C852" s="29"/>
      <c r="E852" s="30"/>
      <c r="O852" s="19"/>
    </row>
    <row r="853" spans="1:15" x14ac:dyDescent="0.25">
      <c r="A853" s="19"/>
      <c r="C853" s="29"/>
      <c r="E853" s="30"/>
    </row>
    <row r="854" spans="1:15" x14ac:dyDescent="0.25">
      <c r="A854" s="19"/>
      <c r="C854" s="29"/>
      <c r="E854" s="30"/>
      <c r="O854" s="19"/>
    </row>
    <row r="855" spans="1:15" x14ac:dyDescent="0.25">
      <c r="A855" s="19"/>
      <c r="C855" s="29"/>
      <c r="E855" s="30"/>
      <c r="O855" s="19"/>
    </row>
    <row r="856" spans="1:15" x14ac:dyDescent="0.25">
      <c r="A856" s="19"/>
      <c r="C856" s="29"/>
      <c r="E856" s="30"/>
      <c r="O856" s="19"/>
    </row>
    <row r="857" spans="1:15" x14ac:dyDescent="0.25">
      <c r="A857" s="19"/>
      <c r="C857" s="29"/>
      <c r="E857" s="30"/>
      <c r="O857" s="19"/>
    </row>
    <row r="858" spans="1:15" x14ac:dyDescent="0.25">
      <c r="A858" s="19"/>
      <c r="C858" s="29"/>
      <c r="E858" s="30"/>
      <c r="O858" s="19"/>
    </row>
    <row r="859" spans="1:15" x14ac:dyDescent="0.25">
      <c r="A859" s="19"/>
      <c r="C859" s="29"/>
      <c r="E859" s="30"/>
      <c r="O859" s="19"/>
    </row>
    <row r="860" spans="1:15" x14ac:dyDescent="0.25">
      <c r="A860" s="19"/>
      <c r="C860" s="29"/>
      <c r="E860" s="30"/>
      <c r="O860" s="19"/>
    </row>
    <row r="861" spans="1:15" x14ac:dyDescent="0.25">
      <c r="A861"/>
      <c r="B861"/>
      <c r="C861"/>
      <c r="D861"/>
      <c r="E861"/>
      <c r="F861"/>
      <c r="G861"/>
      <c r="I861"/>
      <c r="J861"/>
      <c r="K861"/>
      <c r="L861"/>
      <c r="M861"/>
      <c r="N861"/>
      <c r="O861"/>
    </row>
    <row r="862" spans="1:15" x14ac:dyDescent="0.25">
      <c r="A862" s="19"/>
      <c r="C862" s="29"/>
      <c r="E862" s="30"/>
    </row>
    <row r="863" spans="1:15" x14ac:dyDescent="0.25">
      <c r="A863" s="19"/>
      <c r="C863" s="29"/>
      <c r="E863" s="30"/>
    </row>
    <row r="864" spans="1:15" x14ac:dyDescent="0.25">
      <c r="C864" s="29"/>
      <c r="E864" s="30"/>
      <c r="N864" s="32"/>
      <c r="O864" s="19"/>
    </row>
    <row r="865" spans="3:3" x14ac:dyDescent="0.25">
      <c r="C865" s="31"/>
    </row>
    <row r="866" spans="3:3" x14ac:dyDescent="0.25">
      <c r="C866" s="31"/>
    </row>
    <row r="867" spans="3:3" x14ac:dyDescent="0.25">
      <c r="C867" s="31"/>
    </row>
    <row r="868" spans="3:3" x14ac:dyDescent="0.25">
      <c r="C868" s="31"/>
    </row>
    <row r="869" spans="3:3" x14ac:dyDescent="0.25">
      <c r="C869" s="31"/>
    </row>
    <row r="870" spans="3:3" x14ac:dyDescent="0.25">
      <c r="C870" s="31"/>
    </row>
    <row r="871" spans="3:3" x14ac:dyDescent="0.25">
      <c r="C871" s="31"/>
    </row>
    <row r="872" spans="3:3" x14ac:dyDescent="0.25">
      <c r="C872" s="31"/>
    </row>
    <row r="873" spans="3:3" x14ac:dyDescent="0.25">
      <c r="C873" s="31"/>
    </row>
    <row r="874" spans="3:3" x14ac:dyDescent="0.25">
      <c r="C874" s="31"/>
    </row>
    <row r="875" spans="3:3" x14ac:dyDescent="0.25">
      <c r="C875" s="31"/>
    </row>
    <row r="876" spans="3:3" x14ac:dyDescent="0.25">
      <c r="C876" s="31"/>
    </row>
    <row r="877" spans="3:3" x14ac:dyDescent="0.25">
      <c r="C877" s="31"/>
    </row>
    <row r="878" spans="3:3" x14ac:dyDescent="0.25">
      <c r="C878" s="31"/>
    </row>
    <row r="879" spans="3:3" x14ac:dyDescent="0.25">
      <c r="C879" s="31"/>
    </row>
    <row r="880" spans="3:3" x14ac:dyDescent="0.25">
      <c r="C880" s="31"/>
    </row>
    <row r="881" spans="3:3" x14ac:dyDescent="0.25">
      <c r="C881" s="31"/>
    </row>
    <row r="882" spans="3:3" x14ac:dyDescent="0.25">
      <c r="C882" s="31"/>
    </row>
    <row r="883" spans="3:3" x14ac:dyDescent="0.25">
      <c r="C883" s="31"/>
    </row>
    <row r="884" spans="3:3" x14ac:dyDescent="0.25">
      <c r="C884" s="31"/>
    </row>
    <row r="885" spans="3:3" x14ac:dyDescent="0.25">
      <c r="C885" s="31"/>
    </row>
    <row r="886" spans="3:3" x14ac:dyDescent="0.25">
      <c r="C886" s="31"/>
    </row>
    <row r="887" spans="3:3" x14ac:dyDescent="0.25">
      <c r="C887" s="31"/>
    </row>
    <row r="888" spans="3:3" x14ac:dyDescent="0.25">
      <c r="C888" s="31"/>
    </row>
    <row r="889" spans="3:3" x14ac:dyDescent="0.25">
      <c r="C889" s="31"/>
    </row>
    <row r="890" spans="3:3" x14ac:dyDescent="0.25">
      <c r="C890" s="31"/>
    </row>
    <row r="891" spans="3:3" x14ac:dyDescent="0.25">
      <c r="C891" s="31"/>
    </row>
    <row r="892" spans="3:3" x14ac:dyDescent="0.25">
      <c r="C892" s="31"/>
    </row>
    <row r="893" spans="3:3" x14ac:dyDescent="0.25">
      <c r="C893" s="31"/>
    </row>
    <row r="894" spans="3:3" x14ac:dyDescent="0.25">
      <c r="C894" s="31"/>
    </row>
    <row r="895" spans="3:3" x14ac:dyDescent="0.25">
      <c r="C895" s="31"/>
    </row>
    <row r="896" spans="3:3" x14ac:dyDescent="0.25">
      <c r="C896" s="31"/>
    </row>
    <row r="897" spans="3:3" x14ac:dyDescent="0.25">
      <c r="C897" s="31"/>
    </row>
    <row r="898" spans="3:3" x14ac:dyDescent="0.25">
      <c r="C898" s="18"/>
    </row>
    <row r="899" spans="3:3" x14ac:dyDescent="0.25">
      <c r="C899" s="31"/>
    </row>
    <row r="900" spans="3:3" x14ac:dyDescent="0.25">
      <c r="C900" s="31"/>
    </row>
    <row r="901" spans="3:3" x14ac:dyDescent="0.25">
      <c r="C901" s="31"/>
    </row>
    <row r="902" spans="3:3" x14ac:dyDescent="0.25">
      <c r="C902" s="31"/>
    </row>
    <row r="903" spans="3:3" x14ac:dyDescent="0.25">
      <c r="C903" s="31"/>
    </row>
    <row r="904" spans="3:3" x14ac:dyDescent="0.25">
      <c r="C904" s="31"/>
    </row>
    <row r="905" spans="3:3" x14ac:dyDescent="0.25">
      <c r="C905" s="31"/>
    </row>
    <row r="906" spans="3:3" x14ac:dyDescent="0.25">
      <c r="C906" s="31"/>
    </row>
    <row r="907" spans="3:3" x14ac:dyDescent="0.25">
      <c r="C907" s="31"/>
    </row>
    <row r="908" spans="3:3" x14ac:dyDescent="0.25">
      <c r="C908" s="31"/>
    </row>
    <row r="909" spans="3:3" x14ac:dyDescent="0.25">
      <c r="C909" s="31"/>
    </row>
    <row r="910" spans="3:3" x14ac:dyDescent="0.25">
      <c r="C910" s="31"/>
    </row>
    <row r="911" spans="3:3" x14ac:dyDescent="0.25">
      <c r="C911" s="31"/>
    </row>
    <row r="912" spans="3:3" x14ac:dyDescent="0.25">
      <c r="C912" s="31"/>
    </row>
    <row r="913" spans="3:3" x14ac:dyDescent="0.25">
      <c r="C913" s="31"/>
    </row>
    <row r="914" spans="3:3" x14ac:dyDescent="0.25">
      <c r="C914" s="31"/>
    </row>
    <row r="915" spans="3:3" x14ac:dyDescent="0.25">
      <c r="C915" s="31"/>
    </row>
    <row r="916" spans="3:3" x14ac:dyDescent="0.25">
      <c r="C916" s="31"/>
    </row>
    <row r="917" spans="3:3" x14ac:dyDescent="0.25">
      <c r="C917" s="31"/>
    </row>
    <row r="918" spans="3:3" x14ac:dyDescent="0.25">
      <c r="C918" s="31"/>
    </row>
    <row r="919" spans="3:3" x14ac:dyDescent="0.25">
      <c r="C919" s="31"/>
    </row>
    <row r="920" spans="3:3" x14ac:dyDescent="0.25">
      <c r="C920" s="31"/>
    </row>
    <row r="921" spans="3:3" x14ac:dyDescent="0.25">
      <c r="C921" s="31"/>
    </row>
    <row r="922" spans="3:3" x14ac:dyDescent="0.25">
      <c r="C922" s="31"/>
    </row>
    <row r="923" spans="3:3" x14ac:dyDescent="0.25">
      <c r="C923" s="31"/>
    </row>
    <row r="924" spans="3:3" x14ac:dyDescent="0.25">
      <c r="C924" s="31"/>
    </row>
    <row r="925" spans="3:3" x14ac:dyDescent="0.25">
      <c r="C925" s="31"/>
    </row>
    <row r="926" spans="3:3" x14ac:dyDescent="0.25">
      <c r="C926" s="31"/>
    </row>
    <row r="927" spans="3:3" x14ac:dyDescent="0.25">
      <c r="C927" s="31"/>
    </row>
    <row r="928" spans="3:3" x14ac:dyDescent="0.25">
      <c r="C928" s="31"/>
    </row>
    <row r="929" spans="3:3" x14ac:dyDescent="0.25">
      <c r="C929" s="31"/>
    </row>
    <row r="930" spans="3:3" x14ac:dyDescent="0.25">
      <c r="C930" s="31"/>
    </row>
    <row r="931" spans="3:3" x14ac:dyDescent="0.25">
      <c r="C931" s="31"/>
    </row>
  </sheetData>
  <dataConsolidate/>
  <phoneticPr fontId="13" type="noConversion"/>
  <conditionalFormatting sqref="D4">
    <cfRule type="cellIs" dxfId="216" priority="74" operator="equal">
      <formula>$E$4</formula>
    </cfRule>
    <cfRule type="cellIs" dxfId="215" priority="75" operator="lessThan">
      <formula>$E$4</formula>
    </cfRule>
    <cfRule type="cellIs" dxfId="214" priority="76" operator="greaterThan">
      <formula>$E$4</formula>
    </cfRule>
  </conditionalFormatting>
  <conditionalFormatting sqref="D6">
    <cfRule type="cellIs" dxfId="213" priority="69" operator="equal">
      <formula>"No"</formula>
    </cfRule>
    <cfRule type="cellIs" dxfId="212" priority="70" operator="notEqual">
      <formula>"No"</formula>
    </cfRule>
  </conditionalFormatting>
  <conditionalFormatting sqref="A862:A863 A853:A860 A846:A850 A838 A865:A866 A868:A876 A843:A844 A840 A790 A691:A749 A14 A12">
    <cfRule type="cellIs" dxfId="211" priority="63" operator="equal">
      <formula>"Always"</formula>
    </cfRule>
    <cfRule type="cellIs" dxfId="210" priority="64" operator="equal">
      <formula>"Yes"</formula>
    </cfRule>
  </conditionalFormatting>
  <conditionalFormatting sqref="F902 I902 F864:F877 I865:I877 F12 I12">
    <cfRule type="cellIs" dxfId="209" priority="62" operator="equal">
      <formula>"Yes"</formula>
    </cfRule>
  </conditionalFormatting>
  <conditionalFormatting sqref="D6 E865:E876 E862:E863 E853:E860 E846:E850 E843:E844 E838 E790 E735:E749 E12 E8 E16:E281">
    <cfRule type="cellIs" dxfId="208" priority="53" operator="equal">
      <formula>"Divination"</formula>
    </cfRule>
    <cfRule type="cellIs" dxfId="207" priority="54" operator="equal">
      <formula>"Enchantment"</formula>
    </cfRule>
    <cfRule type="cellIs" dxfId="206" priority="55" operator="equal">
      <formula>"Necromancy"</formula>
    </cfRule>
    <cfRule type="cellIs" dxfId="205" priority="56" operator="equal">
      <formula>"Transmutation"</formula>
    </cfRule>
    <cfRule type="cellIs" dxfId="204" priority="57" operator="equal">
      <formula>"Illusion"</formula>
    </cfRule>
    <cfRule type="cellIs" dxfId="203" priority="58" operator="equal">
      <formula>"Conjuration"</formula>
    </cfRule>
    <cfRule type="cellIs" dxfId="202" priority="60" operator="equal">
      <formula>"Abjuration"</formula>
    </cfRule>
    <cfRule type="cellIs" dxfId="201" priority="61" operator="equal">
      <formula>"Evocation"</formula>
    </cfRule>
  </conditionalFormatting>
  <conditionalFormatting sqref="A8">
    <cfRule type="cellIs" dxfId="200" priority="21" operator="equal">
      <formula>"Always"</formula>
    </cfRule>
    <cfRule type="cellIs" dxfId="199" priority="22" operator="equal">
      <formula>"Yes"</formula>
    </cfRule>
  </conditionalFormatting>
  <conditionalFormatting sqref="F862:F863 F853:F860 F846:F850 J846:J850 F843:F844 F838 J843:J844 J838 J790:N790 F790 F735:F749 J735:J749 F8 J8 F16:F281 J16:J281">
    <cfRule type="cellIs" dxfId="198" priority="20" operator="equal">
      <formula>"Yes"</formula>
    </cfRule>
  </conditionalFormatting>
  <conditionalFormatting sqref="E730:E734">
    <cfRule type="cellIs" dxfId="197" priority="11" operator="equal">
      <formula>"Divination"</formula>
    </cfRule>
    <cfRule type="cellIs" dxfId="196" priority="12" operator="equal">
      <formula>"Enchantment"</formula>
    </cfRule>
    <cfRule type="cellIs" dxfId="195" priority="13" operator="equal">
      <formula>"Necromancy"</formula>
    </cfRule>
    <cfRule type="cellIs" dxfId="194" priority="14" operator="equal">
      <formula>"Transmutation"</formula>
    </cfRule>
    <cfRule type="cellIs" dxfId="193" priority="15" operator="equal">
      <formula>"Illusion"</formula>
    </cfRule>
    <cfRule type="cellIs" dxfId="192" priority="16" operator="equal">
      <formula>"Conjuration"</formula>
    </cfRule>
    <cfRule type="cellIs" dxfId="191" priority="17" operator="equal">
      <formula>"Abjuration"</formula>
    </cfRule>
    <cfRule type="cellIs" dxfId="190" priority="18" operator="equal">
      <formula>"Evocation"</formula>
    </cfRule>
  </conditionalFormatting>
  <conditionalFormatting sqref="E15:E281">
    <cfRule type="cellIs" dxfId="189" priority="3" operator="equal">
      <formula>"Divination"</formula>
    </cfRule>
    <cfRule type="cellIs" dxfId="188" priority="4" operator="equal">
      <formula>"Enchantment"</formula>
    </cfRule>
    <cfRule type="cellIs" dxfId="187" priority="5" operator="equal">
      <formula>"Necromancy"</formula>
    </cfRule>
    <cfRule type="cellIs" dxfId="186" priority="6" operator="equal">
      <formula>"Transmutation"</formula>
    </cfRule>
    <cfRule type="cellIs" dxfId="185" priority="7" operator="equal">
      <formula>"Illusion"</formula>
    </cfRule>
    <cfRule type="cellIs" dxfId="184" priority="8" operator="equal">
      <formula>"Conjuration"</formula>
    </cfRule>
    <cfRule type="cellIs" dxfId="183" priority="9" operator="equal">
      <formula>"Abjuration"</formula>
    </cfRule>
    <cfRule type="cellIs" dxfId="182" priority="10" operator="equal">
      <formula>"Evocation"</formula>
    </cfRule>
  </conditionalFormatting>
  <conditionalFormatting sqref="F15:F281">
    <cfRule type="cellIs" dxfId="181" priority="2" operator="equal">
      <formula>"Yes"</formula>
    </cfRule>
  </conditionalFormatting>
  <conditionalFormatting sqref="J15:J281">
    <cfRule type="cellIs" dxfId="180" priority="1" operator="equal">
      <formula>"Yes"</formula>
    </cfRule>
  </conditionalFormatting>
  <hyperlinks>
    <hyperlink ref="M15" location="Spells!A1" display="Expand" xr:uid="{CFE4E560-4BA2-4231-B5A7-4A8B7483F43E}"/>
    <hyperlink ref="C15" location="Spells!A1" display="Fire Bolt" xr:uid="{F3C9088A-46CC-49C1-A732-75C97A589846}"/>
    <hyperlink ref="M16" location="Spells!A1" display="Expand" xr:uid="{BE63C48B-BED2-4F58-B2AC-E6C829797BD5}"/>
    <hyperlink ref="C16" location="Spells!A1" display="Mage Hand" xr:uid="{DDCDE2B5-A844-4E8D-A161-49C8B44AA4B0}"/>
    <hyperlink ref="M17" location="Spells!A1" display="Expand" xr:uid="{8796C28F-9250-4F62-BE2C-ADCD7065C494}"/>
    <hyperlink ref="C17" location="Spells!A1" display="Message" xr:uid="{6C382688-DCE6-4EA3-8A34-92C6F80A86E0}"/>
    <hyperlink ref="M18" location="Spells!A1" display="Expand" xr:uid="{A1D91279-C613-4CA4-8C5F-C16AC5094A84}"/>
    <hyperlink ref="C18" location="Spells!A1" display="Thaumaturgy" xr:uid="{49340BBE-206B-4683-90C6-A1C0B77E542E}"/>
    <hyperlink ref="M19" location="Spells!A1" display="Expand" xr:uid="{6274535A-8CD7-42F1-ACBE-09B21A58E729}"/>
    <hyperlink ref="C19" location="Spells!A1" display="Minor Conjuration" xr:uid="{84847D89-37DD-4CAC-8538-72E72507095A}"/>
    <hyperlink ref="M20" location="Spells!A1" display="Expand" xr:uid="{21235B83-8740-462F-9576-228213E32949}"/>
    <hyperlink ref="C20" location="Spells!A1" display="Benign Transport" xr:uid="{4404A8AD-B75B-4E87-A2B9-2A264B4A9B62}"/>
    <hyperlink ref="M21" location="Spells!A1" display="Expand" xr:uid="{8F234B73-3896-41CA-AB0B-82F1EC119714}"/>
    <hyperlink ref="C21" location="Spells!A1" display="Prestidigitation" xr:uid="{2E7831F1-C85B-4A38-B96D-BD749EADE026}"/>
    <hyperlink ref="M22" location="Spells!A1" display="Expand" xr:uid="{81FE5C46-D398-420A-A25C-BE482B7FB6EA}"/>
    <hyperlink ref="C22" location="Spells!A1" display="Minor Illusion" xr:uid="{734B8D4D-BF2E-48A4-970D-1DAEF3FCE796}"/>
    <hyperlink ref="M23" location="Spells!A1" display="Expand" xr:uid="{CB0FB509-3499-4702-AFA3-6DDC657F26E8}"/>
    <hyperlink ref="C23" location="Spells!A1" display="Acid Splash" xr:uid="{BAB4F318-E34D-4095-945F-FA90731A947A}"/>
    <hyperlink ref="M24" location="Spells!A1" display="Expand" xr:uid="{3A1F473B-AD85-4CB6-BC7A-C8462F33E110}"/>
    <hyperlink ref="C24" location="Spells!A1" display="Chill Touch" xr:uid="{2256148B-E7A2-4542-B9A5-A7B13765231F}"/>
    <hyperlink ref="M25" location="Spells!A1" display="Expand" xr:uid="{87A0E95D-9AAB-4617-91A7-31B550D06E85}"/>
    <hyperlink ref="C25" location="Spells!A1" display="Dancing Lights" xr:uid="{42CC5665-00DE-4717-91AF-179C5415EC81}"/>
    <hyperlink ref="M26" location="Spells!A1" display="Expand" xr:uid="{8FEB2AD0-5525-44C6-9A79-792888214A9B}"/>
    <hyperlink ref="C26" location="Spells!A1" display="Light" xr:uid="{85A80B65-501E-4788-AD1A-920D116450AB}"/>
    <hyperlink ref="M27" location="Spells!A1" display="Expand" xr:uid="{D89DB283-D249-4E3C-BDC8-248C88D549F9}"/>
    <hyperlink ref="C27" location="Spells!A1" display="Mending" xr:uid="{EDA66901-84E7-4D98-87BC-4C8A1DB1D28F}"/>
    <hyperlink ref="M28" location="Spells!A1" display="Expand" xr:uid="{FA0C7A31-D654-4E95-9B30-C4C2828ADE7F}"/>
    <hyperlink ref="C28" location="Spells!A1" display="Poison Spray" xr:uid="{7A49E477-B55D-4EE8-8C91-74416491CAAA}"/>
    <hyperlink ref="M29" location="Spells!A1" display="Expand" xr:uid="{363ABFAA-32DD-4F28-9120-E01D218A8641}"/>
    <hyperlink ref="C29" location="Spells!A1" display="Ray of Frost" xr:uid="{3D43FBCA-7553-4246-920B-6A8C34EF40B0}"/>
    <hyperlink ref="M30" location="Spells!A1" display="Expand" xr:uid="{272603F6-4548-4207-8AB9-A6E7E39AE833}"/>
    <hyperlink ref="C30" location="Spells!A1" display="Shocking Grasp" xr:uid="{09A088EF-1C1B-4D31-A393-890DAACD90CA}"/>
    <hyperlink ref="M31" location="Spells!A1" display="Expand" xr:uid="{A24F1131-09DF-4302-9A73-CF6DCD052AE5}"/>
    <hyperlink ref="C31" location="Spells!A1" display="True Strike" xr:uid="{64A0BAEB-2299-4B96-8448-9BED3D6ADF31}"/>
    <hyperlink ref="M35" location="Spells!A1" display="Expand" xr:uid="{DEA89690-B570-48B1-A81D-FD8182B7F74A}"/>
    <hyperlink ref="C35" location="Spells!A1" display="Chromatic Orb" xr:uid="{DD8AB228-0E4C-4306-8E5C-18AC4A5DA397}"/>
    <hyperlink ref="M36" location="Spells!A1" display="Expand" xr:uid="{AC1B3445-1425-4256-B622-13508E3C14A2}"/>
    <hyperlink ref="C36" location="Spells!A1" display="Detect Magic" xr:uid="{26A56E9C-4964-4320-A46F-9FDD8757721C}"/>
    <hyperlink ref="M37" location="Spells!A1" display="Expand" xr:uid="{69E8619D-C064-4243-AEED-0F316D2FC59F}"/>
    <hyperlink ref="C37" location="Spells!A1" display="Mage Armor" xr:uid="{6252B09F-A4FB-4A8B-A5DB-F070E8ACABDC}"/>
    <hyperlink ref="M38" location="Spells!A1" display="Expand" xr:uid="{07E55E71-BCBB-4C94-8114-38674AEEB028}"/>
    <hyperlink ref="C38" location="Spells!A1" display="Magic Missile" xr:uid="{44653EA3-7AF5-4AB3-905A-4F661545BB89}"/>
    <hyperlink ref="M39" location="Spells!A1" display="Expand" xr:uid="{FF28805F-3BEA-42EE-835C-BBC34691C9CA}"/>
    <hyperlink ref="C39" location="Spells!A1" display="Shield" xr:uid="{AF3ED4C7-3407-47B0-9F65-9688632ED81C}"/>
    <hyperlink ref="M40" location="Spells!A1" display="Expand" xr:uid="{EA36C4D0-76FC-47EF-901D-324112C24308}"/>
    <hyperlink ref="C40" location="Spells!A1" display="Witch Bolt" xr:uid="{F913FF88-E203-4285-9444-BE3590E25E7A}"/>
    <hyperlink ref="M41" location="Spells!A1" display="Expand" xr:uid="{2F475F5A-CE57-483F-8F6D-8C52250FF662}"/>
    <hyperlink ref="C41" location="Spells!A1" display="Ray of Sickness" xr:uid="{EFA65AED-2CE5-4C71-ADD8-A54BE7D2D15E}"/>
    <hyperlink ref="M42" location="Spells!A1" display="Expand" xr:uid="{0F2A534B-154B-4121-9635-6AB21FA4E225}"/>
    <hyperlink ref="C42" location="Spells!A1" display="Protection from Evil and Good" xr:uid="{482F922E-F25E-44A2-8670-BD86DAA2ECA7}"/>
    <hyperlink ref="M43" location="Spells!A1" display="Expand" xr:uid="{F93CFA5B-8FFB-47B5-B308-E5C7C18BFB19}"/>
    <hyperlink ref="C43" location="Spells!A1" display="Fog Cloud" xr:uid="{4592B05F-8085-4910-94B4-50AD47379DBB}"/>
    <hyperlink ref="M44" location="Spells!A1" display="Expand" xr:uid="{3EA71693-B936-4895-823D-0CD1948C238E}"/>
    <hyperlink ref="C44" location="Spells!A1" display="Thunderwave" xr:uid="{738294B3-AF32-4A0F-8126-3EFCC4F2603F}"/>
    <hyperlink ref="M45" location="Spells!A1" display="Expand" xr:uid="{65024D51-35A6-4AF3-903B-05F3BD584E85}"/>
    <hyperlink ref="C45" location="Spells!A1" display="Comprehend Languages" xr:uid="{B23081D1-A48D-4969-B8EC-BAA55297180C}"/>
    <hyperlink ref="M46" location="Spells!A1" display="Expand" xr:uid="{82EDA85C-BA0D-4CF7-8AE7-357F4FF33BF4}"/>
    <hyperlink ref="C46" location="Spells!A1" display="Hideous Laughter" xr:uid="{DC08D930-4A6E-4B26-8676-C00A82303BC8}"/>
    <hyperlink ref="M47" location="Spells!A1" display="Expand" xr:uid="{798B77FD-6845-4DCF-B12D-C77B1170091A}"/>
    <hyperlink ref="C47" location="Spells!A1" display="False Life" xr:uid="{B25BA554-22B2-4A39-AEEB-952E9519F5D7}"/>
    <hyperlink ref="M48" location="Spells!A1" display="Expand" xr:uid="{2D774C70-F6B1-4A3B-B42B-942A008A739C}"/>
    <hyperlink ref="C48" location="Spells!A1" display="Color Spray" xr:uid="{756649A8-2FDA-4A89-8AAD-3E135BBFB6D8}"/>
    <hyperlink ref="M49" location="Spells!A1" display="Expand" xr:uid="{E06BE804-D873-43B9-85D3-F6A254A2171A}"/>
    <hyperlink ref="C49" location="Spells!A1" display="Alarm" xr:uid="{B393A511-3BF1-4A27-8D99-39B24A6BDB88}"/>
    <hyperlink ref="M50" location="Spells!A1" display="Expand" xr:uid="{AFA0E90C-654A-476C-8044-9BB3A9C7E6BA}"/>
    <hyperlink ref="C50" location="Spells!A1" display="Burning Hands" xr:uid="{4D1E8FDD-C52B-4E9B-808A-4F01781F7DDA}"/>
    <hyperlink ref="M51" location="Spells!A1" display="Expand" xr:uid="{2B04C9B3-3FA3-420D-9119-D2DE95B660BE}"/>
    <hyperlink ref="C51" location="Spells!A1" display="Charm Person" xr:uid="{FA4EE652-AB48-443A-9261-148C1065858B}"/>
    <hyperlink ref="M52" location="Spells!A1" display="Expand" xr:uid="{AD3F343B-4525-4161-8EE4-AAEBA714AFBE}"/>
    <hyperlink ref="C52" location="Spells!A1" display="Disguise Self" xr:uid="{426CEB5D-01D3-4F84-8D20-4E18338C79E2}"/>
    <hyperlink ref="M53" location="Spells!A1" display="Expand" xr:uid="{BD346ECA-E66A-4224-8345-B99CB9247D2C}"/>
    <hyperlink ref="C53" location="Spells!A1" display="Expeditious Retreat" xr:uid="{CBC44AA8-13A1-4423-93EF-3A43D07F8F04}"/>
    <hyperlink ref="M54" location="Spells!A1" display="Expand" xr:uid="{1A9A2466-AC4F-475E-A057-643423859160}"/>
    <hyperlink ref="C54" location="Spells!A1" display="Feather Fall" xr:uid="{9156CC7D-6E14-40CF-84E8-0BE54C6F5A38}"/>
    <hyperlink ref="M55" location="Spells!A1" display="Expand" xr:uid="{BAE7734A-AC9B-470A-8740-318704DEB339}"/>
    <hyperlink ref="C55" location="Spells!A1" display="Find Familiar" xr:uid="{6EE3F2F3-C0DE-409E-BA42-0D5A778C02AC}"/>
    <hyperlink ref="M56" location="Spells!A1" display="Expand" xr:uid="{074BF4A4-4E41-449A-894A-CEC358C2E34D}"/>
    <hyperlink ref="C56" location="Spells!A1" display="Floating Disk" xr:uid="{A2EFB75D-E2AC-4C09-A3C6-429D01F778DB}"/>
    <hyperlink ref="M57" location="Spells!A1" display="Expand" xr:uid="{1FC7E7EA-8170-4683-9E27-D93F4FD361DC}"/>
    <hyperlink ref="C57" location="Spells!A1" display="Grease" xr:uid="{95B9FDF3-5D79-47D1-B74A-D4E5890D55A2}"/>
    <hyperlink ref="M58" location="Spells!A1" display="Expand" xr:uid="{601A3EDB-9298-452F-95F0-3CF17E5724EF}"/>
    <hyperlink ref="C58" location="Spells!A1" display="Identify" xr:uid="{1C8599CB-85BB-4839-918F-E86D663D307C}"/>
    <hyperlink ref="M59" location="Spells!A1" display="Expand" xr:uid="{4DFA11B5-5B86-4D16-BA74-A9D8D894AD46}"/>
    <hyperlink ref="C59" location="Spells!A1" display="Illusory Script" xr:uid="{F60D3704-C22A-4EE8-902C-9EB831D15187}"/>
    <hyperlink ref="M60" location="Spells!A1" display="Expand" xr:uid="{DF16B375-62CC-473B-9626-97AE653548B6}"/>
    <hyperlink ref="C60" location="Spells!A1" display="Jump" xr:uid="{B55DE817-08AB-4843-B581-8A6CCFBB5930}"/>
    <hyperlink ref="M61" location="Spells!A1" display="Expand" xr:uid="{ED60B925-5EB8-423F-B285-2B79C40A71AE}"/>
    <hyperlink ref="C61" location="Spells!A1" display="Longstrider" xr:uid="{54B21B19-8425-414E-AF87-EEBAAA60B73C}"/>
    <hyperlink ref="M62" location="Spells!A1" display="Expand" xr:uid="{D80A97D2-DD34-4E6E-9663-6D7F91DFF609}"/>
    <hyperlink ref="C62" location="Spells!A1" display="Silent Image" xr:uid="{93559283-630E-4238-BBCD-D263CFDED06C}"/>
    <hyperlink ref="M63" location="Spells!A1" display="Expand" xr:uid="{2421F8A1-B756-4354-BAC9-B5D29803D449}"/>
    <hyperlink ref="C63" location="Spells!A1" display="Sleep" xr:uid="{4349FD5B-0C71-442D-923C-5D193EDF0F1B}"/>
    <hyperlink ref="M64" location="Spells!A1" display="Expand" xr:uid="{9B00910E-D15B-4270-B66F-D03B2DC24865}"/>
    <hyperlink ref="C64" location="Spells!A1" display="Unseen Servant" xr:uid="{BDEDE045-2BE8-449E-8C10-624A61B45905}"/>
    <hyperlink ref="M80" location="Spells!A1" display="Expand" xr:uid="{A3DE86FF-AAF3-4B44-9B57-6BBF88BB893D}"/>
    <hyperlink ref="C80" location="Spells!A1" display="Darkness" xr:uid="{692885A1-7DD4-4F8B-A009-C0E6BCDDFD78}"/>
    <hyperlink ref="M81" location="Spells!A1" display="Expand" xr:uid="{F2E8DA74-1AB8-4EE2-B944-D485AD8BDE9F}"/>
    <hyperlink ref="C81" location="Spells!A1" display="Hellish Rebuke" xr:uid="{78E57D5A-3FEC-4CF1-A118-CEAB739B3BF5}"/>
    <hyperlink ref="M82" location="Spells!A1" display="Expand" xr:uid="{3A4C879C-C6DF-4D7A-A257-DD0D9966684B}"/>
    <hyperlink ref="C82" location="Spells!A1" display="Hold Person" xr:uid="{593CDD4C-1A20-483D-AF73-B0945E5BDD22}"/>
    <hyperlink ref="M83" location="Spells!A1" display="Expand" xr:uid="{D6D760D5-0F60-44B2-8249-C063375C06BC}"/>
    <hyperlink ref="C83" location="Spells!A1" display="Invisibility" xr:uid="{96B05C82-5B8A-4546-8C04-F6E1DFF8FB8E}"/>
    <hyperlink ref="M84" location="Spells!A1" display="Expand" xr:uid="{817878A7-228A-49E3-959C-B819D9D681C6}"/>
    <hyperlink ref="C84" location="Spells!A1" display="Misty Step" xr:uid="{C4B71C95-6676-44C3-80E3-3A1480703AE9}"/>
    <hyperlink ref="M85" location="Spells!A1" display="Expand" xr:uid="{A6091DED-6437-4368-A2EB-2EEB09049EBC}"/>
    <hyperlink ref="C85" location="Spells!A1" display="Scorching Ray" xr:uid="{0D40E974-308B-46E1-B197-0B74C74181F9}"/>
    <hyperlink ref="M86" location="Spells!A1" display="Expand" xr:uid="{D9FCB626-1559-44FF-857D-8FE5A642BBB6}"/>
    <hyperlink ref="C86" location="Spells!A1" display="Suggestion" xr:uid="{52D10FD1-69A1-4E07-8578-50F34F6A9623}"/>
    <hyperlink ref="M87" location="Spells!A1" display="Expand" xr:uid="{DCB689A0-D160-4A2C-98F8-B1F9B4E9BCA6}"/>
    <hyperlink ref="C87" location="Spells!A1" display="Flaming Sphere" xr:uid="{AF3E4033-AE21-456A-BA10-CF63449D130A}"/>
    <hyperlink ref="M88" location="Spells!A1" display="Expand" xr:uid="{8A7473BE-5172-4E94-ACEC-660BA61433A0}"/>
    <hyperlink ref="C88" location="Spells!A1" display="Knock" xr:uid="{012FDBF3-755E-453D-BEA4-51D4F29E4ECC}"/>
    <hyperlink ref="M89" location="Spells!A1" display="Expand" xr:uid="{22807395-9847-4799-AEBE-1C5AA2FB847D}"/>
    <hyperlink ref="C89" location="Spells!A1" display="Magic Weapon" xr:uid="{510F1DB0-755E-4C85-8FA4-F3DBEF20FE2F}"/>
    <hyperlink ref="M90" location="Spells!A1" display="Expand" xr:uid="{149974EA-7212-4536-BBAB-6512BA1361F4}"/>
    <hyperlink ref="C90" location="Spells!A1" display="Acid Arrow" xr:uid="{75C95A05-C098-43F5-8945-F3C8F99DBEBA}"/>
    <hyperlink ref="M91" location="Spells!A1" display="Expand" xr:uid="{E4126EB6-5784-4F8E-A29A-5F60D998BE48}"/>
    <hyperlink ref="C91" location="Spells!A1" display="Alter Self" xr:uid="{51FB6DF4-4997-452E-94EE-35EC26B7407B}"/>
    <hyperlink ref="M92" location="Spells!A1" display="Expand" xr:uid="{BC8C4555-7431-48C5-8D80-69154AEF1DA4}"/>
    <hyperlink ref="C92" location="Spells!A1" display="Arcane Lock" xr:uid="{6FFF956C-5553-4B86-AD26-70A4E420BE98}"/>
    <hyperlink ref="M93" location="Spells!A1" display="Expand" xr:uid="{C6816526-72B7-4533-B158-8EB68CF42BFA}"/>
    <hyperlink ref="C93" location="Spells!A1" display="Arcanist's Magic Aura" xr:uid="{B65C3C24-0C83-4B59-9887-BA9EF43AE58D}"/>
    <hyperlink ref="M94" location="Spells!A1" display="Expand" xr:uid="{55B66C5E-08BF-4F4A-9BD2-9769AB77B425}"/>
    <hyperlink ref="C94" location="Spells!A1" display="Blindness Deafness" xr:uid="{95B028F3-A198-4574-AD6E-5C0B406D16B6}"/>
    <hyperlink ref="M95" location="Spells!A1" display="Expand" xr:uid="{B1562EBC-89BD-4010-A098-368497FC307D}"/>
    <hyperlink ref="C95" location="Spells!A1" display="Blur" xr:uid="{D409B642-2C7D-44C4-ABBC-B9D03E3EF6C5}"/>
    <hyperlink ref="M96" location="Spells!A1" display="Expand" xr:uid="{A80057BD-F782-485F-867E-34981196E3BF}"/>
    <hyperlink ref="C96" location="Spells!A1" display="Continual Flame" xr:uid="{89C3D541-70B8-45F0-9584-C404567FD211}"/>
    <hyperlink ref="M97" location="Spells!A1" display="Expand" xr:uid="{741A9515-DB0C-4897-8925-E76BA8D62955}"/>
    <hyperlink ref="C97" location="Spells!A1" display="Darkvision" xr:uid="{DD504A77-9284-4376-B84A-D93E0C3BE470}"/>
    <hyperlink ref="M98" location="Spells!A1" display="Expand" xr:uid="{FD926A7E-4BD3-45E3-B08F-8F09F4BBED15}"/>
    <hyperlink ref="C98" location="Spells!A1" display="Detect Thoughts" xr:uid="{45A41F4D-D00F-44CF-B576-0CCB104650BC}"/>
    <hyperlink ref="M99" location="Spells!A1" display="Expand" xr:uid="{36336D2A-474D-473D-B6A8-3F89FFAA3FA1}"/>
    <hyperlink ref="C99" location="Spells!A1" display="Enlarge Reduce" xr:uid="{1E197498-4276-4194-84AF-DBFEC373293A}"/>
    <hyperlink ref="M100" location="Spells!A1" display="Expand" xr:uid="{34DF6793-BC42-42E9-B12A-728A538868B4}"/>
    <hyperlink ref="C100" location="Spells!A1" display="Gentle Repose" xr:uid="{A09925F0-C207-4664-BD62-98245EB55FA9}"/>
    <hyperlink ref="M101" location="Spells!A1" display="Expand" xr:uid="{2D77CE1F-0597-431C-A525-485CA0CCA3CA}"/>
    <hyperlink ref="C101" location="Spells!A1" display="Gust of Wind" xr:uid="{F11BE8B8-4A53-4834-896B-D1AA0DA7532B}"/>
    <hyperlink ref="M102" location="Spells!A1" display="Expand" xr:uid="{8A65D340-98A9-40C6-97B3-82B7FAFBE6DA}"/>
    <hyperlink ref="C102" location="Spells!A1" display="Levitate" xr:uid="{5612F78B-2BBD-4CF7-84E7-7DF13F30AE31}"/>
    <hyperlink ref="M103" location="Spells!A1" display="Expand" xr:uid="{56360B7D-3B32-4CD5-8448-79D6D18DD80D}"/>
    <hyperlink ref="C103" location="Spells!A1" display="Locate Object" xr:uid="{52BA3997-03E5-4A89-8A84-47F176E98D18}"/>
    <hyperlink ref="M104" location="Spells!A1" display="Expand" xr:uid="{B10BFA42-6773-4C4B-A019-C1C1F9823C89}"/>
    <hyperlink ref="C104" location="Spells!A1" display="Magic Mouth" xr:uid="{332E6855-A3A7-4AA6-AD19-3545194391F8}"/>
    <hyperlink ref="M105" location="Spells!A1" display="Expand" xr:uid="{AA78EFD3-56F9-4B2F-8C6C-7100C72886AB}"/>
    <hyperlink ref="C105" location="Spells!A1" display="Mirror Image" xr:uid="{865DCB48-D75A-4BDC-857E-2BFF9B6FC0E0}"/>
    <hyperlink ref="M106" location="Spells!A1" display="Expand" xr:uid="{D6977D18-4B44-40D0-BFE6-FDB8C85DF6F4}"/>
    <hyperlink ref="C106" location="Spells!A1" display="Ray of Enfeeblement" xr:uid="{F96841DE-0681-4CE0-9878-A8FA265E4EA5}"/>
    <hyperlink ref="M107" location="Spells!A1" display="Expand" xr:uid="{CA251E4B-29B2-4223-BED1-C3159601AE06}"/>
    <hyperlink ref="C107" location="Spells!A1" display="Rope Trick" xr:uid="{0FA1BBE4-6F6B-49DD-8F4B-45BBC0F55D30}"/>
    <hyperlink ref="M108" location="Spells!A1" display="Expand" xr:uid="{D6408489-2B55-4A06-AAC3-31CFC1C2FF08}"/>
    <hyperlink ref="C108" location="Spells!A1" display="See Invisibility" xr:uid="{2ED3340B-B753-4735-81FA-3BFCB3FFBAAE}"/>
    <hyperlink ref="M109" location="Spells!A1" display="Expand" xr:uid="{7A0DAAE8-45A6-476C-9216-0D88EDEA4577}"/>
    <hyperlink ref="C109" location="Spells!A1" display="Shatter" xr:uid="{3B27E731-1C9E-4145-83FA-990A033BF7B0}"/>
    <hyperlink ref="M110" location="Spells!A1" display="Expand" xr:uid="{0F98C0B5-527C-450E-ADD4-3C76D5BC05D5}"/>
    <hyperlink ref="C110" location="Spells!A1" display="Spider Climb" xr:uid="{CB7A91F1-CCE2-4BE8-BB80-D7B7463E664B}"/>
    <hyperlink ref="M111" location="Spells!A1" display="Expand" xr:uid="{B3A34134-4D8F-4334-8732-EDECA65A0AA0}"/>
    <hyperlink ref="C111" location="Spells!A1" display="Web" xr:uid="{E24C3152-D26F-4BF0-A9DB-C794837552DF}"/>
    <hyperlink ref="M125" location="Spells!A1" display="Expand" xr:uid="{8A6BF1F4-BBB2-44BF-A97F-607461A295DE}"/>
    <hyperlink ref="C125" location="Spells!A1" display="Counterspell" xr:uid="{C2663A4C-49E9-44AF-9365-7576BC98F963}"/>
    <hyperlink ref="M126" location="Spells!A1" display="Expand" xr:uid="{24989487-2F83-45D6-ADCC-3BA10D1C83D1}"/>
    <hyperlink ref="C126" location="Spells!A1" display="Dispel Magic" xr:uid="{62B27A08-C1B1-4869-995B-63A67C4131AB}"/>
    <hyperlink ref="M127" location="Spells!A1" display="Expand" xr:uid="{95A9D3D2-F38D-44DF-8C97-25A44F623979}"/>
    <hyperlink ref="C127" location="Spells!A1" display="Fly" xr:uid="{B1B3395B-ADC2-441E-9613-C84FAF72074D}"/>
    <hyperlink ref="M128" location="Spells!A1" display="Expand" xr:uid="{338F7CBE-6A76-4DBE-BE2C-9B84F88730E5}"/>
    <hyperlink ref="C128" location="Spells!A1" display="Glyph of Warding" xr:uid="{16950384-C23D-4A4C-A3E0-2896FD47952D}"/>
    <hyperlink ref="M129" location="Spells!A1" display="Expand" xr:uid="{1E31458F-D00C-49C1-9103-D7790EF25A18}"/>
    <hyperlink ref="C129" location="Spells!A1" display="Haste" xr:uid="{F3EB6948-92A5-4558-B18D-C093EC160561}"/>
    <hyperlink ref="M130" location="Spells!A1" display="Expand" xr:uid="{23A0629D-7B35-4402-8475-AC00299D18C7}"/>
    <hyperlink ref="C130" location="Spells!A1" display="Lightning Bolt" xr:uid="{21343951-42F4-4A09-87AB-6FF388A6C045}"/>
    <hyperlink ref="M131" location="Spells!A1" display="Expand" xr:uid="{6605C091-81C7-4148-857F-F48FABC985E8}"/>
    <hyperlink ref="C131" location="Spells!A1" display="Major Image" xr:uid="{F5B69979-7982-4774-89EC-C8DD535D162A}"/>
    <hyperlink ref="M132" location="Spells!A1" display="Expand" xr:uid="{A623FBA4-5D6B-4881-82C8-A3D39BCEDCFA}"/>
    <hyperlink ref="C132" location="Spells!A1" display="Tiny Hut" xr:uid="{0E650D49-E158-41D8-ACA8-85AF48BC7DF6}"/>
    <hyperlink ref="M133" location="Spells!A1" display="Expand" xr:uid="{13F7DB92-F50A-4E18-9B25-5728551B3BFB}"/>
    <hyperlink ref="C133" location="Spells!A1" display="Fireball" xr:uid="{437998C9-0A9D-4298-A2D4-CA2BEC1DBE48}"/>
    <hyperlink ref="M134" location="Spells!A1" display="Expand" xr:uid="{10AEE21E-181D-4DDB-B273-6756B170898F}"/>
    <hyperlink ref="C134" location="Spells!A1" display="Animate Dead" xr:uid="{746FFDD2-8DD2-4B8B-9459-5B922BF01628}"/>
    <hyperlink ref="M135" location="Spells!A1" display="Expand" xr:uid="{EC2209DC-2408-49F5-A89A-D5FAFF9E88D3}"/>
    <hyperlink ref="C135" location="Spells!A1" display="Bestow Curse" xr:uid="{C74416D8-4057-4F82-BFC0-869E200670EB}"/>
    <hyperlink ref="M136" location="Spells!A1" display="Expand" xr:uid="{EBFE30E6-16C0-485E-A440-EC733E122DA9}"/>
    <hyperlink ref="C136" location="Spells!A1" display="Blink" xr:uid="{114D3F2F-AC8E-48A8-8354-0210ACB2FF96}"/>
    <hyperlink ref="M137" location="Spells!A1" display="Expand" xr:uid="{1647C66A-BFCA-4763-A6E7-882AF1506491}"/>
    <hyperlink ref="C137" location="Spells!A1" display="Clairvoyance" xr:uid="{195FDBAB-97B4-4F75-A3C9-9DD994170C65}"/>
    <hyperlink ref="M138" location="Spells!A1" display="Expand" xr:uid="{5A806FB6-BEFD-4C8C-89FF-896379722B49}"/>
    <hyperlink ref="C138" location="Spells!A1" display="Fear" xr:uid="{C4081C47-CEB2-4513-9645-8E178C9E0677}"/>
    <hyperlink ref="M139" location="Spells!A1" display="Expand" xr:uid="{EC6D92D3-1BDD-49F4-84EB-7D085ED010BC}"/>
    <hyperlink ref="C139" location="Spells!A1" display="Gaseous Form" xr:uid="{D8D80E59-813E-4C79-A830-624B35E3FF17}"/>
    <hyperlink ref="M140" location="Spells!A1" display="Expand" xr:uid="{2AED7A7F-D632-44F8-85E3-B35E01C941CB}"/>
    <hyperlink ref="C140" location="Spells!A1" display="Hypnotic Pattern" xr:uid="{3F1F8592-6CCD-40CD-B66F-9920F1359170}"/>
    <hyperlink ref="M141" location="Spells!A1" display="Expand" xr:uid="{2C77E3D9-B963-46C7-BD70-D63D159E4812}"/>
    <hyperlink ref="C141" location="Spells!A1" display="Magic Circle" xr:uid="{BCAC2FA8-7105-4F7C-8FC0-A33C18B7B0C6}"/>
    <hyperlink ref="M142" location="Spells!A1" display="Expand" xr:uid="{634AC42F-C32A-4471-A017-5C81CB30457C}"/>
    <hyperlink ref="C142" location="Spells!A1" display="Nondetection" xr:uid="{3F3D0CE9-2DE1-4084-8443-DA9F34C42E18}"/>
    <hyperlink ref="M143" location="Spells!A1" display="Expand" xr:uid="{A64A9074-919B-4138-8CED-8E62A4A37EF2}"/>
    <hyperlink ref="C143" location="Spells!A1" display="Phantom Steed" xr:uid="{A411D7C2-BBAA-4508-B9C8-FD392F8420EF}"/>
    <hyperlink ref="M144" location="Spells!A1" display="Expand" xr:uid="{09B8AE90-CC5C-44C2-AE25-7386BC14463C}"/>
    <hyperlink ref="C144" location="Spells!A1" display="Protection from Energy" xr:uid="{0BE5295E-BD00-4A3A-97C4-B788B97F76FC}"/>
    <hyperlink ref="M145" location="Spells!A1" display="Expand" xr:uid="{FDE73AF7-AEA7-4AB7-9117-AB220025FE8F}"/>
    <hyperlink ref="C145" location="Spells!A1" display="Remove Curse" xr:uid="{972D052B-9BDE-48A6-9ECA-6402C4E94C75}"/>
    <hyperlink ref="M146" location="Spells!A1" display="Expand" xr:uid="{A8FD0A5C-FD49-40D9-BDEA-A4E05B609F80}"/>
    <hyperlink ref="C146" location="Spells!A1" display="Sending" xr:uid="{89999F87-81DC-4FF1-B851-871F63417C6B}"/>
    <hyperlink ref="M147" location="Spells!A1" display="Expand" xr:uid="{0615010B-C4E6-4A08-B1E1-AC6DBBD35FA9}"/>
    <hyperlink ref="C147" location="Spells!A1" display="Sleet Storm" xr:uid="{8F2D7535-55D9-449B-BAA9-44E8D8116B15}"/>
    <hyperlink ref="M148" location="Spells!A1" display="Expand" xr:uid="{A7703362-87ED-4F39-B542-927BB253322D}"/>
    <hyperlink ref="C148" location="Spells!A1" display="Slow" xr:uid="{4CAE4675-E734-4DED-859B-96843FF7A374}"/>
    <hyperlink ref="M149" location="Spells!A1" display="Expand" xr:uid="{7586D41E-F720-485A-8BE8-D8F88034AB0A}"/>
    <hyperlink ref="C149" location="Spells!A1" display="Stinking Cloud" xr:uid="{A8CEFECF-C8DB-4496-AEFC-9C5AB004B64A}"/>
    <hyperlink ref="M150" location="Spells!A1" display="Expand" xr:uid="{AAB3C83E-A125-4C21-A701-BC594A00A5F8}"/>
    <hyperlink ref="C150" location="Spells!A1" display="Tongues" xr:uid="{92CCF10E-B3C3-4559-A5E2-995E973FF026}"/>
    <hyperlink ref="M151" location="Spells!A1" display="Expand" xr:uid="{AF63639D-6F52-4C21-B613-374A74953D3B}"/>
    <hyperlink ref="C151" location="Spells!A1" display="Vampiric Touch" xr:uid="{283CBCA8-4FFE-479D-A3A2-146629B07613}"/>
    <hyperlink ref="M152" location="Spells!A1" display="Expand" xr:uid="{C63268C7-FF23-4B4E-8898-46A7F827CE3E}"/>
    <hyperlink ref="C152" location="Spells!A1" display="Water Breathing" xr:uid="{A20DDDC4-F2B1-4F54-A89E-1AC662469A0A}"/>
    <hyperlink ref="M164" location="Spells!A1" display="Expand" xr:uid="{3407466C-E40D-45F5-A781-87E27A8012A9}"/>
    <hyperlink ref="C164" location="Spells!A1" display="Black Tentacles" xr:uid="{C26A88B2-1CBA-4E88-A590-8405D169DD19}"/>
    <hyperlink ref="M165" location="Spells!A1" display="Expand" xr:uid="{A19B247A-FCBE-4DE1-BF7D-1CBC63E3E5F4}"/>
    <hyperlink ref="C165" location="Spells!A1" display="Dimension Door" xr:uid="{AD407132-A655-44E8-8D14-460412479F27}"/>
    <hyperlink ref="M166" location="Spells!A1" display="Expand" xr:uid="{A9EC57C4-4095-4131-A7FE-D672223F5459}"/>
    <hyperlink ref="C166" location="Spells!A1" display="Phantasmal Killer" xr:uid="{88AF11B2-F89D-4E1C-9981-E2796DFA930E}"/>
    <hyperlink ref="M167" location="Spells!A1" display="Expand" xr:uid="{FA418380-F6C9-4137-A4C8-97F3FEE7B05C}"/>
    <hyperlink ref="C167" location="Spells!A1" display="Sickening Radiance" xr:uid="{A11200D3-234E-497F-B09B-DD37C8BB2B98}"/>
    <hyperlink ref="M168" location="Spells!A1" display="Expand" xr:uid="{16C875B7-9CE4-41B3-8960-3A2A75378C27}"/>
    <hyperlink ref="C168" location="Spells!A1" display="Summon Greater Demon" xr:uid="{E5A5D2EE-3A88-422A-979E-34220240D0D2}"/>
    <hyperlink ref="M169" location="Spells!A1" display="Expand" xr:uid="{C7A81655-21A4-4208-8BC8-49433968C256}"/>
    <hyperlink ref="C169" location="Spells!A1" display="Wall of Fire" xr:uid="{E01111F4-9AE2-4585-A359-FB5C8E157049}"/>
    <hyperlink ref="M170" location="Spells!A1" display="Expand" xr:uid="{1BABD859-5F24-4717-B554-36F33A137994}"/>
    <hyperlink ref="C170" location="Spells!A1" display="Private Sanctum" xr:uid="{0F1E8D6C-2F6A-4C21-A179-AB9E2A413684}"/>
    <hyperlink ref="M171" location="Spells!A1" display="Expand" xr:uid="{F2D533A6-5C2B-487F-A57D-4ABB939AC62F}"/>
    <hyperlink ref="C171" location="Spells!A1" display="Confusion" xr:uid="{ACD9E865-B261-4290-8E0B-EF4F4C5C09FB}"/>
    <hyperlink ref="M172" location="Spells!A1" display="Expand" xr:uid="{26A17A88-44C6-4FCC-844A-2BC95B2B8E4A}"/>
    <hyperlink ref="C172" location="Spells!A1" display="Ice Storm" xr:uid="{47380AA5-5C8D-4263-A264-C9EB9FF32DFB}"/>
    <hyperlink ref="M173" location="Spells!A1" display="Expand" xr:uid="{9B9854CA-EDBE-4D81-8550-80324738C84E}"/>
    <hyperlink ref="C173" location="Spells!A1" display="Arcane Eye" xr:uid="{A7011A9C-9D2B-42B9-9AF1-39AC95333D3F}"/>
    <hyperlink ref="M174" location="Spells!A1" display="Expand" xr:uid="{0DBA7873-DCA2-43F9-B318-A2C1219D8B5D}"/>
    <hyperlink ref="C174" location="Spells!A1" display="Banishment" xr:uid="{9F717712-F5CC-4FF0-AAEE-D6FE9F7C6881}"/>
    <hyperlink ref="M175" location="Spells!A1" display="Expand" xr:uid="{540B753A-1D35-4C9E-923E-3B3E4131180A}"/>
    <hyperlink ref="C175" location="Spells!A1" display="Blight" xr:uid="{B5925107-D18A-4187-877A-8ED90015C560}"/>
    <hyperlink ref="M176" location="Spells!A1" display="Expand" xr:uid="{7EA59000-8C84-4A59-ADC0-3A0C18888B51}"/>
    <hyperlink ref="C176" location="Spells!A1" display="Conjure Minor Elementals" xr:uid="{C0876F01-5E4C-4F68-95E9-553AA178D3CB}"/>
    <hyperlink ref="M177" location="Spells!A1" display="Expand" xr:uid="{A68D793D-F387-4E4D-9D37-AD327ADB0283}"/>
    <hyperlink ref="C177" location="Spells!A1" display="Control Water" xr:uid="{575051F3-FAB7-4B9E-BD4C-C8B846AE1084}"/>
    <hyperlink ref="M178" location="Spells!A1" display="Expand" xr:uid="{A4AEF1EC-89CE-4956-9C7C-776B885329EE}"/>
    <hyperlink ref="C178" location="Spells!A1" display="Fabricate" xr:uid="{3FF1B956-232A-4454-9FCD-AA88E5ED9BC4}"/>
    <hyperlink ref="M179" location="Spells!A1" display="Expand" xr:uid="{1AEA4D44-4545-4BC4-84F3-758263FBBBB6}"/>
    <hyperlink ref="C179" location="Spells!A1" display="Faithful Hound" xr:uid="{070164B2-39A2-463F-AC5C-1C56DFC154BA}"/>
    <hyperlink ref="M180" location="Spells!A1" display="Expand" xr:uid="{90742D2C-492C-4D5D-96E3-3D7331325F0E}"/>
    <hyperlink ref="C180" location="Spells!A1" display="Fire Shield" xr:uid="{4B71D3C9-DDA8-4E4F-A56A-51A3A6CDDEBD}"/>
    <hyperlink ref="M181" location="Spells!A1" display="Expand" xr:uid="{B55331AD-6468-443C-BD32-BD3E373E8653}"/>
    <hyperlink ref="C181" location="Spells!A1" display="Greater Invisibility" xr:uid="{5A3A2840-1D56-42AD-93BF-B9E4F3E40B2C}"/>
    <hyperlink ref="M182" location="Spells!A1" display="Expand" xr:uid="{D97F76CE-5906-4238-87C1-07F9209455CF}"/>
    <hyperlink ref="C182" location="Spells!A1" display="Hallucinatory Terrain" xr:uid="{E527B06C-8509-4F01-BD80-2DA24477E8E4}"/>
    <hyperlink ref="M183" location="Spells!A1" display="Expand" xr:uid="{1333BDF1-CAE1-48AB-9EB8-FDD02B6106DB}"/>
    <hyperlink ref="C183" location="Spells!A1" display="Locate Creature" xr:uid="{DD4845BC-394E-4532-8BF9-5AD8DFC9F708}"/>
    <hyperlink ref="M184" location="Spells!A1" display="Expand" xr:uid="{C4B2E835-DBF0-443F-A42F-BCCE47EF80A0}"/>
    <hyperlink ref="C184" location="Spells!A1" display="Polymorph" xr:uid="{C1A46F01-F5B9-4D46-BD9E-15021C547132}"/>
    <hyperlink ref="M185" location="Spells!A1" display="Expand" xr:uid="{D3F26542-4492-480C-8F19-0ACF603DB2B1}"/>
    <hyperlink ref="C185" location="Spells!A1" display="Resilient Sphere" xr:uid="{3430B707-8D83-44C2-9A94-18F8CC78D9A0}"/>
    <hyperlink ref="M186" location="Spells!A1" display="Expand" xr:uid="{3F3AC05A-0A79-47D8-9759-C6E93DF2AF23}"/>
    <hyperlink ref="C186" location="Spells!A1" display="Secret Chest" xr:uid="{DE067728-1886-4942-92F0-CC79A893D48A}"/>
    <hyperlink ref="M187" location="Spells!A1" display="Expand" xr:uid="{D7C979A7-E649-4E6D-8493-40097F6F6BB7}"/>
    <hyperlink ref="C187" location="Spells!A1" display="Stone Shape" xr:uid="{25E6AADD-1872-458E-9536-1CEC51422C0B}"/>
    <hyperlink ref="M188" location="Spells!A1" display="Expand" xr:uid="{102EF67D-BE3D-4398-B5ED-628EEC8590FF}"/>
    <hyperlink ref="C188" location="Spells!A1" display="Stoneskin" xr:uid="{1B4FDB0B-113F-47E4-8DF3-431B81F857B0}"/>
    <hyperlink ref="M191" location="Spells!A1" display="Expand" xr:uid="{60EB937B-8ED0-4048-AB63-F4E1030A0F0C}"/>
    <hyperlink ref="C191" location="Spells!A1" display="Danse Macabre" xr:uid="{4E5D4094-A523-4B50-BB93-7E35DCD9A4B6}"/>
    <hyperlink ref="M192" location="Spells!A1" display="Expand" xr:uid="{F850FE26-6F07-463D-93E3-3A7652A53D33}"/>
    <hyperlink ref="C192" location="Spells!A1" display="Hold Monster" xr:uid="{E1A37E0F-E871-4E53-A78E-6F9A6B8E0FF3}"/>
    <hyperlink ref="M193" location="Spells!A1" display="Expand" xr:uid="{5B33FFB8-F9ED-4058-8DE8-A718F7A0B6F9}"/>
    <hyperlink ref="C193" location="Spells!A1" display="Negative Energy Flood" xr:uid="{703D62C6-4446-43D7-A587-B9CFA1E1817B}"/>
    <hyperlink ref="M194" location="Spells!A1" display="Expand" xr:uid="{A9F3260F-B7DD-42CF-972A-5D0620BD2919}"/>
    <hyperlink ref="C194" location="Spells!A1" display="Cone of Cold" xr:uid="{048D2140-58B5-4431-AC6A-8A6E1292E6EA}"/>
    <hyperlink ref="M195" location="Spells!A1" display="Expand" xr:uid="{762340FC-3CE3-48A3-AAA0-E57C1A752257}"/>
    <hyperlink ref="C195" location="Spells!A1" display="Animate Objects" xr:uid="{BD3D996D-5059-4B1A-840B-5C3F17265E24}"/>
    <hyperlink ref="M196" location="Spells!A1" display="Expand" xr:uid="{57BD722D-D977-47BF-8990-978EEE37B485}"/>
    <hyperlink ref="C196" location="Spells!A1" display="Arcane Hand" xr:uid="{16EA4969-92DE-4F5D-B43A-962CBF91774D}"/>
    <hyperlink ref="M197" location="Spells!A1" display="Expand" xr:uid="{A67612C3-6F3C-42E7-9344-D347FC2D70E3}"/>
    <hyperlink ref="C197" location="Spells!A1" display="Cloudkill" xr:uid="{541EB181-C530-4766-B146-6F9C30A4ACDA}"/>
    <hyperlink ref="M198" location="Spells!A1" display="Expand" xr:uid="{CF726C8F-F23E-4EFE-A9CB-D85C9B66A795}"/>
    <hyperlink ref="C198" location="Spells!A1" display="Conjure Elemental" xr:uid="{B8923019-FC2C-462E-89D6-64392C5E5B31}"/>
    <hyperlink ref="M199" location="Spells!A1" display="Expand" xr:uid="{A2D09AA7-86DA-4824-9B45-929E05A104DD}"/>
    <hyperlink ref="C199" location="Spells!A1" display="Contact Other Plane" xr:uid="{433611E5-E962-45CF-8C04-FCA39FE8FF1D}"/>
    <hyperlink ref="M200" location="Spells!A1" display="Expand" xr:uid="{7406E786-3ECD-42F0-9D2E-3E6C3B55DFF6}"/>
    <hyperlink ref="C200" location="Spells!A1" display="Creation" xr:uid="{22AE019E-120E-41BC-844A-557D9BABB746}"/>
    <hyperlink ref="M201" location="Spells!A1" display="Expand" xr:uid="{AE31DABE-6266-4163-B12C-B1CCA4AB3ACF}"/>
    <hyperlink ref="C201" location="Spells!A1" display="Dominate Person" xr:uid="{87FADE41-FCB6-43E4-9885-512D563BF8E3}"/>
    <hyperlink ref="M202" location="Spells!A1" display="Expand" xr:uid="{A0B2A71A-F7C0-4289-87CF-0245828BD7BF}"/>
    <hyperlink ref="C202" location="Spells!A1" display="Dream" xr:uid="{8BF9928B-D414-4C2D-9939-FE343F482EF8}"/>
    <hyperlink ref="M203" location="Spells!A1" display="Expand" xr:uid="{83792909-C9AF-4B85-B515-655B7BFAA77D}"/>
    <hyperlink ref="C203" location="Spells!A1" display="Geas" xr:uid="{EDE2C806-0EB0-4467-9693-580EB04F1F4A}"/>
    <hyperlink ref="M204" location="Spells!A1" display="Expand" xr:uid="{AF102E87-9D76-449E-8D07-BD215C5FEDAE}"/>
    <hyperlink ref="C204" location="Spells!A1" display="Legend Lore" xr:uid="{256593CE-F287-488D-9475-9DCD59046058}"/>
    <hyperlink ref="M205" location="Spells!A1" display="Expand" xr:uid="{AE7C39A3-DC35-40B2-A2D7-2594351BA98E}"/>
    <hyperlink ref="C205" location="Spells!A1" display="Mislead" xr:uid="{341399B9-902D-4122-91C8-4012443B07A2}"/>
    <hyperlink ref="M206" location="Spells!A1" display="Expand" xr:uid="{12DE649F-B9F6-4D77-ABF9-B175E9973124}"/>
    <hyperlink ref="C206" location="Spells!A1" display="Modify Memory" xr:uid="{6ABA3561-C77B-4A4D-B34D-99B85A005605}"/>
    <hyperlink ref="M207" location="Spells!A1" display="Expand" xr:uid="{9174B994-27A5-46ED-A5FB-1F81B116AF27}"/>
    <hyperlink ref="C207" location="Spells!A1" display="Passwall" xr:uid="{A7D68748-F243-43EB-96A9-740EEA159C2D}"/>
    <hyperlink ref="M208" location="Spells!A1" display="Expand" xr:uid="{27A48E08-DBDF-4DA3-A6E2-4FD8E7E82B40}"/>
    <hyperlink ref="C208" location="Spells!A1" display="Planar Binding" xr:uid="{E17343A8-DFF1-4044-8FF5-67242274C264}"/>
    <hyperlink ref="M209" location="Spells!A1" display="Expand" xr:uid="{F171FA73-64ED-4CFB-BF3E-D38EB71709A7}"/>
    <hyperlink ref="C209" location="Spells!A1" display="Scrying" xr:uid="{3DE3F92B-B1BC-4F49-B772-C009BFB8BD44}"/>
    <hyperlink ref="M210" location="Spells!A1" display="Expand" xr:uid="{372AA924-D164-400C-B393-BF2107136C6D}"/>
    <hyperlink ref="C210" location="Spells!A1" display="Seeming" xr:uid="{03C4C169-FAA5-4635-8537-8D84FE03B4F2}"/>
    <hyperlink ref="M211" location="Spells!A1" display="Expand" xr:uid="{A312503F-ECB7-4B30-8A70-3B088093AA9E}"/>
    <hyperlink ref="C211" location="Spells!A1" display="Telekinesis" xr:uid="{8F7F6299-38B1-43ED-8189-E35ED0E49BF4}"/>
    <hyperlink ref="M212" location="Spells!A1" display="Expand" xr:uid="{A2589D1C-686F-4030-9491-D033067E91F5}"/>
    <hyperlink ref="C212" location="Spells!A1" display="Telepathic Bond" xr:uid="{D25D546E-CAA8-4F72-8D01-2B85948478E7}"/>
    <hyperlink ref="M213" location="Spells!A1" display="Expand" xr:uid="{E7EC6206-B6C6-4EB2-9294-489B96C2C0D4}"/>
    <hyperlink ref="C213" location="Spells!A1" display="Teleportation Circle" xr:uid="{E4C8918D-188B-47DF-8E8A-3CE396BACE6D}"/>
    <hyperlink ref="M214" location="Spells!A1" display="Expand" xr:uid="{77BF2DB0-7461-4068-8FBC-6927B88B75F6}"/>
    <hyperlink ref="C214" location="Spells!A1" display="Wall of Force" xr:uid="{A6AB1120-C7D5-4C03-9D14-E89C708DC763}"/>
    <hyperlink ref="M215" location="Spells!A1" display="Expand" xr:uid="{F083A2E9-5DFC-4A8E-8E3B-627FEEC84528}"/>
    <hyperlink ref="C215" location="Spells!A1" display="Wall of Stone" xr:uid="{09CC61F0-7E59-48EE-800D-2ECDF837F69D}"/>
    <hyperlink ref="M220" location="Spells!A1" display="Expand" xr:uid="{09862451-5BBE-40DE-8FA4-3108EE36087A}"/>
    <hyperlink ref="C220" location="Spells!A1" display="Chain Lightning" xr:uid="{638DBFA0-B5C8-4D66-9CC8-438BE948FBE6}"/>
    <hyperlink ref="M221" location="Spells!A1" display="Expand" xr:uid="{86E53BE3-2ACB-48C9-BC66-C6B0D8705FC8}"/>
    <hyperlink ref="C221" location="Spells!A1" display="Contingency" xr:uid="{F2B1599B-6B10-44A2-83EF-D79B90B5A4B7}"/>
    <hyperlink ref="M222" location="Spells!A1" display="Expand" xr:uid="{E1A367E4-5C72-46F4-A519-F8E5CCAFDBAF}"/>
    <hyperlink ref="C222" location="Spells!A1" display="Eyebite" xr:uid="{8A8A2C84-8515-470B-AEDB-8B512B7EB309}"/>
    <hyperlink ref="M223" location="Spells!A1" display="Expand" xr:uid="{8F293D03-A615-450E-8712-DC291CD3BA9D}"/>
    <hyperlink ref="C223" location="Spells!A1" display="Wall of Ice" xr:uid="{4D050340-D28F-4FD3-B61A-E8B48C134615}"/>
    <hyperlink ref="M224" location="Spells!A1" display="Expand" xr:uid="{1F42BBC7-4CEA-4836-AD95-EBF0EFC132C6}"/>
    <hyperlink ref="C224" location="Spells!A1" display="Circle of Death" xr:uid="{CE90FBFB-0A0E-48C8-91BE-E8A541130275}"/>
    <hyperlink ref="M225" location="Spells!A1" display="Expand" xr:uid="{57EF95A3-D2B4-4CD3-80F5-B0C2A5910EBC}"/>
    <hyperlink ref="C225" location="Spells!A1" display="Create Undead" xr:uid="{D91CA4B6-DE30-4294-B702-8E223828D28C}"/>
    <hyperlink ref="M226" location="Spells!A1" display="Expand" xr:uid="{6E70F146-0EA9-4B7F-BC00-6B5C00DCC590}"/>
    <hyperlink ref="C226" location="Spells!A1" display="Disintegrate" xr:uid="{7CB566FA-4D86-4D63-8BF3-25EA8892B32B}"/>
    <hyperlink ref="M227" location="Spells!A1" display="Expand" xr:uid="{2106A4D5-400E-4E31-B7AC-683B29503050}"/>
    <hyperlink ref="C227" location="Spells!A1" display="Flesh to Stone" xr:uid="{FF777DFE-7D11-48AC-AF3A-3219EA9FDC4C}"/>
    <hyperlink ref="M228" location="Spells!A1" display="Expand" xr:uid="{EA0E062C-74DD-4587-B768-E5EACAEB34EA}"/>
    <hyperlink ref="C228" location="Spells!A1" display="Freezing Sphere" xr:uid="{0AD463CD-CEBC-41DC-A3C0-0BB48E2BB333}"/>
    <hyperlink ref="M229" location="Spells!A1" display="Expand" xr:uid="{4F0C53A0-EAE1-40E1-A506-1B22EDF293F0}"/>
    <hyperlink ref="C229" location="Spells!A1" display="Globe of Invulnerability" xr:uid="{2EB145BE-A2AA-4F13-9AB7-22FD9FD4410E}"/>
    <hyperlink ref="M230" location="Spells!A1" display="Expand" xr:uid="{A6541240-1A84-4B63-9989-D23483DDBD80}"/>
    <hyperlink ref="C230" location="Spells!A1" display="Guards and Wards" xr:uid="{72D82B80-4FDB-42A0-A3D2-3E76F63EFEDF}"/>
    <hyperlink ref="M231" location="Spells!A1" display="Expand" xr:uid="{22439FBD-5167-46A4-81F1-1831BBCDE3F5}"/>
    <hyperlink ref="C231" location="Spells!A1" display="Instant Summons" xr:uid="{F984E4EB-F979-47D1-BA49-6811D4976536}"/>
    <hyperlink ref="M232" location="Spells!A1" display="Expand" xr:uid="{5CAC47FF-6A53-4427-9871-3087E35769DF}"/>
    <hyperlink ref="C232" location="Spells!A1" display="Irresistible Dance" xr:uid="{3946A2C1-75BC-4783-AA8F-938AA4A82C83}"/>
    <hyperlink ref="M233" location="Spells!A1" display="Expand" xr:uid="{01B2B9A7-ECBA-42EA-BFB7-5E8563A363AE}"/>
    <hyperlink ref="C233" location="Spells!A1" display="Magic Jar" xr:uid="{3D06918C-E3CC-4FD2-831D-025264004BCB}"/>
    <hyperlink ref="M234" location="Spells!A1" display="Expand" xr:uid="{AB0D2DAF-C94A-4A41-AF39-0281DDF6EE78}"/>
    <hyperlink ref="C234" location="Spells!A1" display="Mass Suggestion" xr:uid="{044C99EE-ED5F-4E04-BB65-03F6DC80E49B}"/>
    <hyperlink ref="M235" location="Spells!A1" display="Expand" xr:uid="{50826FF0-674B-4B31-A19E-1C51AA225905}"/>
    <hyperlink ref="C235" location="Spells!A1" display="Move Earth" xr:uid="{08E417F9-8213-48CB-9145-C43C47D45C06}"/>
    <hyperlink ref="M236" location="Spells!A1" display="Expand" xr:uid="{3FAD55D5-70A0-49A4-8B72-0AE7D5DB5F07}"/>
    <hyperlink ref="C236" location="Spells!A1" display="Programmed Illusion" xr:uid="{C9EB0FBB-C63B-411F-B855-1061E40027DF}"/>
    <hyperlink ref="M237" location="Spells!A1" display="Expand" xr:uid="{447ACE68-8D40-410B-AE0C-09B180CC7636}"/>
    <hyperlink ref="C237" location="Spells!A1" display="Sunbeam" xr:uid="{A83C85E8-6B64-4834-ADC9-CDA6D535168F}"/>
    <hyperlink ref="M238" location="Spells!A1" display="Expand" xr:uid="{369535DB-14B0-4542-AF3B-61F44D752077}"/>
    <hyperlink ref="C238" location="Spells!A1" display="True Seeing" xr:uid="{B1576C4F-9B9E-4F9A-838A-76316B0578DB}"/>
    <hyperlink ref="M240" location="Spells!A1" display="Expand" xr:uid="{13C8AA96-115D-4D98-9497-AD41E9DA9171}"/>
    <hyperlink ref="C240" location="Spells!A1" display="Etherealness" xr:uid="{1E2026CF-DF9A-4377-AF2D-D1E8CDC1915B}"/>
    <hyperlink ref="M241" location="Spells!A1" display="Expand" xr:uid="{19C6C4AC-F0D0-4736-AE8E-EA589EC06659}"/>
    <hyperlink ref="C241" location="Spells!A1" display="Arcane Sword" xr:uid="{D4AAF949-7B87-4633-86B7-6F03138A2C92}"/>
    <hyperlink ref="M242" location="Spells!A1" display="Expand" xr:uid="{87A9D0E3-C914-4C36-BA1D-BEEEB890D1D2}"/>
    <hyperlink ref="C242" location="Spells!A1" display="Delayed Blast Fireball" xr:uid="{21FC24DD-AF4B-4DBC-8C90-BC746E0AFB63}"/>
    <hyperlink ref="M243" location="Spells!A1" display="Expand" xr:uid="{34C3BA2D-3D35-4C60-A35F-338A4C260B3A}"/>
    <hyperlink ref="C243" location="Spells!A1" display="Finger of Death" xr:uid="{FB93F3EC-732C-4524-8970-432B0D902A94}"/>
    <hyperlink ref="M244" location="Spells!A1" display="Expand" xr:uid="{00BAD2A0-6D62-4E62-B02B-20A9A8D81D93}"/>
    <hyperlink ref="C244" location="Spells!A1" display="Forcecage" xr:uid="{7E6FCA9F-B75E-4EAD-B7C2-6CCE7E321BD2}"/>
    <hyperlink ref="M245" location="Spells!A1" display="Expand" xr:uid="{413CC5AE-2CD9-4C43-A30F-CA81AD66714B}"/>
    <hyperlink ref="C245" location="Spells!A1" display="Magnificent Mansion" xr:uid="{B88800AB-77F3-46F6-9EB1-12CABCBC261D}"/>
    <hyperlink ref="M246" location="Spells!A1" display="Expand" xr:uid="{8BD9398C-6D6A-44F3-994D-90C273796417}"/>
    <hyperlink ref="C246" location="Spells!A1" display="Mirage Arcane" xr:uid="{FBD11A98-8AD9-45FB-A342-6D534205B8DA}"/>
    <hyperlink ref="M247" location="Spells!A1" display="Expand" xr:uid="{831953B8-0D9D-442A-8E8E-8456382802EE}"/>
    <hyperlink ref="C247" location="Spells!A1" display="Plane Shift" xr:uid="{CE1507C8-5F4A-44B1-B95F-C46A65B00752}"/>
    <hyperlink ref="M248" location="Spells!A1" display="Expand" xr:uid="{DDFE85A8-273A-4CB8-B862-271EC6E60715}"/>
    <hyperlink ref="C248" location="Spells!A1" display="Prismatic Spray" xr:uid="{D1A7E408-7B20-44E8-A997-A103A6D216C6}"/>
    <hyperlink ref="M249" location="Spells!A1" display="Expand" xr:uid="{5A6D3DD9-7616-4606-9871-DDC7CF6E443D}"/>
    <hyperlink ref="C249" location="Spells!A1" display="Project Image" xr:uid="{6682E21F-6E63-4351-AC5B-D8A3060C7272}"/>
    <hyperlink ref="M250" location="Spells!A1" display="Expand" xr:uid="{5527DC75-A3F0-4E1F-9C77-8CCD11242F5F}"/>
    <hyperlink ref="C250" location="Spells!A1" display="Reverse Gravity" xr:uid="{7FBA8A10-3C9E-4F20-ACE6-22F9DEDBC528}"/>
    <hyperlink ref="M251" location="Spells!A1" display="Expand" xr:uid="{6190922E-8544-4DCC-AD66-0FE407FC5615}"/>
    <hyperlink ref="C251" location="Spells!A1" display="Sequester" xr:uid="{6BD2AD06-0C6A-4580-B8B1-0CA296B2118F}"/>
    <hyperlink ref="M252" location="Spells!A1" display="Expand" xr:uid="{277CE75B-B6F4-42AB-9299-D21C054FB1D3}"/>
    <hyperlink ref="C252" location="Spells!A1" display="Simulacrum" xr:uid="{E7C08468-ECF2-4160-9934-0986AC39B107}"/>
    <hyperlink ref="M253" location="Spells!A1" display="Expand" xr:uid="{40A0A551-8C70-43E8-89A6-19A2F86392AE}"/>
    <hyperlink ref="C253" location="Spells!A1" display="Symbol" xr:uid="{6F192521-ED4F-48BD-A3E1-4E09E3FAA721}"/>
    <hyperlink ref="M254" location="Spells!A1" display="Expand" xr:uid="{1FA681C3-3459-492C-8057-B2A3BCBF19CF}"/>
    <hyperlink ref="C254" location="Spells!A1" display="Teleport" xr:uid="{F20AF770-3903-4B09-B20C-EC5FDFBC7900}"/>
    <hyperlink ref="M257" location="Spells!A1" display="Expand" xr:uid="{8B25C733-AFE8-4740-B9B8-2D74DACEFF59}"/>
    <hyperlink ref="C257" location="Spells!A1" display="Antimagic Field" xr:uid="{AE179C88-45A9-4869-9DD4-75A92C740EC5}"/>
    <hyperlink ref="M258" location="Spells!A1" display="Expand" xr:uid="{64D5A7CE-3167-4D09-B248-B1F49FA57D35}"/>
    <hyperlink ref="C258" location="Spells!A1" display="Antipathy Sympathy" xr:uid="{8543BF33-5917-4C00-A25E-384C318F6A4F}"/>
    <hyperlink ref="M259" location="Spells!A1" display="Expand" xr:uid="{F3CDD427-40FF-4427-906C-BCDA09D4BCA6}"/>
    <hyperlink ref="C259" location="Spells!A1" display="Clone" xr:uid="{84EDB773-44D2-49B2-90D4-1245A4C8CE21}"/>
    <hyperlink ref="M260" location="Spells!A1" display="Expand" xr:uid="{3C61B3D0-3A75-4DB1-A24C-F5C0386E3503}"/>
    <hyperlink ref="C260" location="Spells!A1" display="Control Weather" xr:uid="{B6D2DE9B-7394-493B-AE32-182B9FCDD8F6}"/>
    <hyperlink ref="M261" location="Spells!A1" display="Expand" xr:uid="{8C0784B6-86B5-4218-9680-8951A1B06698}"/>
    <hyperlink ref="C261" location="Spells!A1" display="Demiplane" xr:uid="{2580B139-3F32-40C0-9BE8-EBBA6AF1981D}"/>
    <hyperlink ref="M262" location="Spells!A1" display="Expand" xr:uid="{D89879AB-C43F-45F4-B5E4-25BFA5EF6591}"/>
    <hyperlink ref="C262" location="Spells!A1" display="Dominate Monster" xr:uid="{91FDC2CB-C7ED-4A6E-B2AC-599B6814F608}"/>
    <hyperlink ref="M263" location="Spells!A1" display="Expand" xr:uid="{D9E7A59E-CA98-4E78-966D-09D01C2EBD61}"/>
    <hyperlink ref="C263" location="Spells!A1" display="Feeblemind" xr:uid="{1D012C92-80E8-4E96-8F6B-EE859149EE67}"/>
    <hyperlink ref="M264" location="Spells!A1" display="Expand" xr:uid="{5A3A027D-29FF-443F-AA57-73266F92C1E1}"/>
    <hyperlink ref="C264" location="Spells!A1" display="Incendiary Cloud" xr:uid="{BCBC68BA-7F33-4508-B61F-C01E4D88D9FA}"/>
    <hyperlink ref="M265" location="Spells!A1" display="Expand" xr:uid="{EFF06EC6-9DAD-45C7-92EA-EDD9DD9476F3}"/>
    <hyperlink ref="C265" location="Spells!A1" display="Maze" xr:uid="{B68D912A-50C0-40D1-B924-589B4A13A497}"/>
    <hyperlink ref="M266" location="Spells!A1" display="Expand" xr:uid="{6454E63F-FB5B-4470-93D5-AB0CD5FBA24B}"/>
    <hyperlink ref="C266" location="Spells!A1" display="Mind Blank" xr:uid="{B12A91A0-AAD4-40C1-A33A-BFA1383FED85}"/>
    <hyperlink ref="M267" location="Spells!A1" display="Expand" xr:uid="{426D32CE-B349-4DC0-9F9E-60E75915F4C2}"/>
    <hyperlink ref="C267" location="Spells!A1" display="Power Word Stun" xr:uid="{85214A24-AECC-4FBA-9B26-893E500F4AB9}"/>
    <hyperlink ref="M268" location="Spells!A1" display="Expand" xr:uid="{A94F26E6-BAE7-4DAD-A832-15F92C694F63}"/>
    <hyperlink ref="C268" location="Spells!A1" display="Sunburst" xr:uid="{A69F04E5-AC93-4CE6-8F8A-9FFD0DF93906}"/>
    <hyperlink ref="M270" location="Spells!A1" display="Expand" xr:uid="{67E16E24-5B1D-46FE-8224-A8DBE67CABD8}"/>
    <hyperlink ref="C270" location="Spells!A1" display="Astral Projection" xr:uid="{4CC8086A-B3A4-4428-AF23-13A45AA52DFA}"/>
    <hyperlink ref="M271" location="Spells!A1" display="Expand" xr:uid="{286E384E-CDC1-4A28-8C27-9CB0E5E872EF}"/>
    <hyperlink ref="C271" location="Spells!A1" display="Foresight" xr:uid="{027ACE8E-0461-404E-ADA6-4B75529E3881}"/>
    <hyperlink ref="M272" location="Spells!A1" display="Expand" xr:uid="{6B76ACEE-4913-4287-A3F2-2FF2381806DD}"/>
    <hyperlink ref="C272" location="Spells!A1" display="Gate" xr:uid="{2E3E6584-91BB-4F03-8B34-99583D3CAD66}"/>
    <hyperlink ref="M273" location="Spells!A1" display="Expand" xr:uid="{AE6E4C5F-2F0B-4C5C-862C-8C1789650875}"/>
    <hyperlink ref="C273" location="Spells!A1" display="Imprisonment" xr:uid="{F46F40A9-6ABB-4C0D-A80A-7439C9698410}"/>
    <hyperlink ref="M274" location="Spells!A1" display="Expand" xr:uid="{B03D6424-00DB-45C0-AAD2-ABAADA151E51}"/>
    <hyperlink ref="C274" location="Spells!A1" display="Meteor Swarm" xr:uid="{FAC1FA63-24C3-4F15-9173-7D26C207B7D9}"/>
    <hyperlink ref="M275" location="Spells!A1" display="Expand" xr:uid="{50269D7E-A1E1-4FF7-83FB-428A6EF1A22A}"/>
    <hyperlink ref="C275" location="Spells!A1" display="Power Word Kill" xr:uid="{24B6363F-A5BA-4844-9980-5104F7D3538F}"/>
    <hyperlink ref="M276" location="Spells!A1" display="Expand" xr:uid="{6F4BB6E4-77D2-430D-AFB2-39AFDC239D19}"/>
    <hyperlink ref="C276" location="Spells!A1" display="Prismatic Wall" xr:uid="{515B1597-3C6D-4328-AE87-D98FBA220D32}"/>
    <hyperlink ref="M277" location="Spells!A1" display="Expand" xr:uid="{2B4CCE65-92B8-44A4-9780-4362C3BBB877}"/>
    <hyperlink ref="C277" location="Spells!A1" display="Shapechange" xr:uid="{B5A56666-10E9-4DC8-B8AE-61F6C7E8C1EF}"/>
    <hyperlink ref="M278" location="Spells!A1" display="Expand" xr:uid="{9D5B8017-8227-404D-88A4-BE3F2F0C01FF}"/>
    <hyperlink ref="C278" location="Spells!A1" display="Time Stop" xr:uid="{8ACBF1B6-7055-4364-8B02-8AE7296685CE}"/>
    <hyperlink ref="M279" location="Spells!A1" display="Expand" xr:uid="{B27F8F02-BCF9-47D6-8985-C218C8C400F9}"/>
    <hyperlink ref="C279" location="Spells!A1" display="True Polymorph" xr:uid="{F9C40346-407E-42A3-847C-7545294A64F4}"/>
    <hyperlink ref="M280" location="Spells!A1" display="Expand" xr:uid="{402C1FBE-D789-47C3-89E2-97F94BB65A93}"/>
    <hyperlink ref="C280" location="Spells!A1" display="Weird" xr:uid="{7E1065B9-0DC8-4298-A49D-6BBCA997F96F}"/>
    <hyperlink ref="M281" location="Spells!A1" display="Expand" xr:uid="{546A70F6-2304-41E1-A812-53A3CB1054C6}"/>
    <hyperlink ref="C281" location="Spells!A1" display="Wish" xr:uid="{FFCBEF2E-35AB-4CE3-A44E-32B11164A00F}"/>
    <hyperlink ref="M65" location="Spells!A1" display="Expand" xr:uid="{B89B6F6B-93E8-4FC6-AABA-A7DA701C03BE}"/>
    <hyperlink ref="C65" location="Spells!A1" display="Bless" xr:uid="{1CD99B17-5A9D-4E32-833C-F98C8CCDE72D}"/>
    <hyperlink ref="M66" location="Spells!A1" display="Expand" xr:uid="{E2D5F6D5-3F00-4DDB-A409-AA50ACE1563A}"/>
    <hyperlink ref="C66" location="Spells!A1" display="Command" xr:uid="{ACE121EF-039E-41C3-AD17-D2FCA6DD8E2F}"/>
    <hyperlink ref="M67" location="Spells!A1" display="Expand" xr:uid="{0B47E64D-B5D8-40D4-8DA9-5BEB5ED20AA0}"/>
    <hyperlink ref="C67" location="Spells!A1" display="Cure Wounds" xr:uid="{83FDFE09-FB97-4F08-BC32-4FAD155DD282}"/>
    <hyperlink ref="M68" location="Spells!A1" display="Expand" xr:uid="{B76A6762-90D2-4D25-AA43-407F6817AA2E}"/>
    <hyperlink ref="C68" location="Spells!A1" display="Detect Evil and Good" xr:uid="{BF20248A-1324-47D6-A97E-6CF05CD189EB}"/>
    <hyperlink ref="M69" location="Spells!A1" display="Expand" xr:uid="{12F048B5-93B8-43A3-AEED-58F3A6FDB07F}"/>
    <hyperlink ref="C69" location="Spells!A1" display="Detect Poison And Disease" xr:uid="{7A1054C1-B5EB-4B3C-A3EB-36E22E3485D8}"/>
    <hyperlink ref="M70" location="Spells!A1" display="Expand" xr:uid="{0175CBE5-5556-4FB9-AE13-4FFF7749BA4C}"/>
    <hyperlink ref="C70" location="Spells!A1" display="Divine Favor" xr:uid="{81FB8578-8791-4D90-9376-F671B4FE5259}"/>
    <hyperlink ref="M71" location="Spells!A1" display="Expand" xr:uid="{099C448E-F36F-4564-A6D6-8AD8BC38EC71}"/>
    <hyperlink ref="C71" location="Spells!A1" display="Heroism" xr:uid="{37AF0E12-F14D-4DB7-833D-45B6D4A91F45}"/>
    <hyperlink ref="M72" location="Spells!A1" display="Expand" xr:uid="{1436EA7F-6C6F-49AC-BEA3-6CB1610D7FE8}"/>
    <hyperlink ref="C72" location="Spells!A1" display="Purify Food and Drink" xr:uid="{03A016CD-13F6-4C8B-A06C-1168D1C112B5}"/>
    <hyperlink ref="M73" location="Spells!A1" display="Expand" xr:uid="{55ACC4EC-F02F-400C-A71B-6DC408BA0676}"/>
    <hyperlink ref="C73" location="Spells!A1" display="Shield of Faith" xr:uid="{06FA8A5E-227A-43FC-A300-371FA9D57101}"/>
    <hyperlink ref="M112" location="Spells!A1" display="Expand" xr:uid="{51491B96-5B74-4671-AE61-E48429779767}"/>
    <hyperlink ref="C112" location="Spells!A1" display="Aid" xr:uid="{61BC9B7D-50B3-4298-BD0A-E686DE9EAB4F}"/>
    <hyperlink ref="M113" location="Spells!A1" display="Expand" xr:uid="{C9A2ACBA-C241-49EF-BD3E-E38A4CBF46A3}"/>
    <hyperlink ref="C113" location="Spells!A1" display="Branding Smite" xr:uid="{2F075A8B-DB36-41E9-8EC6-F0458DCC3CB2}"/>
    <hyperlink ref="M114" location="Spells!A1" display="Expand" xr:uid="{1902879A-02AB-41C3-8E72-7A184262DFA9}"/>
    <hyperlink ref="C114" location="Spells!A1" display="Find Steed" xr:uid="{E91F7E9C-F725-4072-8458-8A05AAA02D95}"/>
    <hyperlink ref="M115" location="Spells!A1" display="Expand" xr:uid="{35DDFC64-C662-4DF4-8F6C-F3997A2A7BB2}"/>
    <hyperlink ref="C115" location="Spells!A1" display="Lesser Restoration" xr:uid="{1AB63B45-EAC9-4C7D-BF88-A0E28CE346AD}"/>
    <hyperlink ref="M116" location="Spells!A1" display="Expand" xr:uid="{B64DD4FC-740C-4C3C-85D0-0EC326D96DBF}"/>
    <hyperlink ref="C116" location="Spells!A1" display="Protection from Poison" xr:uid="{06003D28-D1BC-43EB-851B-578A1BBD7FC9}"/>
    <hyperlink ref="M117" location="Spells!A1" display="Expand" xr:uid="{12591B33-EAD6-4A0B-B091-5D40B5C4D094}"/>
    <hyperlink ref="C117" location="Spells!A1" display="Zone of Truth" xr:uid="{36976FED-16E6-4BC0-B8AC-101F18D7AADC}"/>
    <hyperlink ref="M32" location="Spells!A1" display="Expand" xr:uid="{670A280F-1115-4555-9429-0189A26695C5}"/>
    <hyperlink ref="C32" location="Spells!A1" display="Booming Blade" xr:uid="{76A63325-F333-444C-9398-ED3566B30DAB}"/>
    <hyperlink ref="M33" location="Spells!A1" display="Expand" xr:uid="{4C35E922-FBB0-43EE-90E8-D8D2ED29E83A}"/>
    <hyperlink ref="C33" location="Spells!A1" display="Green Flame Blade" xr:uid="{EA2B6A86-4ECB-426D-86C1-2C92E8BC3794}"/>
    <hyperlink ref="M74" location="Spells!A1" display="Expand" xr:uid="{F41F94E0-425A-413F-BA70-B4A1F9E94F62}"/>
    <hyperlink ref="C74" location="Spells!A1" display="Bane" xr:uid="{F11E6FC8-A9A3-4A61-90C3-60D70D068B0F}"/>
    <hyperlink ref="M75" location="Spells!A1" display="Expand" xr:uid="{791ADB34-F2CB-4991-9D7C-4FB70A808BD5}"/>
    <hyperlink ref="C75" location="Spells!A1" display="Hunter's Mark" xr:uid="{0DFF30EE-96C4-4514-A014-AF43DF5557DD}"/>
    <hyperlink ref="M34" location="Spells!A1" display="Expand" xr:uid="{C234EAD8-50BA-4B20-B8FC-30C87F44B6C3}"/>
    <hyperlink ref="C34" location="Spells!A1" display="Vicious Mockery" xr:uid="{6F364BEA-7C44-4BD8-A9F6-D11DEBC739F6}"/>
    <hyperlink ref="M76" location="Spells!A1" display="Expand" xr:uid="{AFB4CC8D-933A-4C19-9AC8-30B64EB429E6}"/>
    <hyperlink ref="C76" location="Spells!A1" display="Animal Friendship" xr:uid="{6F2C9671-B24B-4E9E-BD99-F659F3F90365}"/>
    <hyperlink ref="M77" location="Spells!A1" display="Expand" xr:uid="{3D07E0D8-9611-4A49-AEE7-D3BD1951A193}"/>
    <hyperlink ref="C77" location="Spells!A1" display="Faerie Fire" xr:uid="{290A2C8D-8DE4-442B-91B9-17BC2FDD4FA8}"/>
    <hyperlink ref="M78" location="Spells!A1" display="Expand" xr:uid="{3B19A826-9DFD-4E86-AC1D-725B6BE4FCAF}"/>
    <hyperlink ref="C78" location="Spells!A1" display="Healing Word" xr:uid="{042BE8C6-42E0-455B-938B-B341CCA43931}"/>
    <hyperlink ref="M79" location="Spells!A1" display="Expand" xr:uid="{C4D44208-183F-4F35-9BAE-37BCD86D3619}"/>
    <hyperlink ref="C79" location="Spells!A1" display="Speak With Animals" xr:uid="{965D4E78-00CA-4C9A-A681-0B7EA7892DC4}"/>
    <hyperlink ref="M118" location="Spells!A1" display="Expand" xr:uid="{385818B2-0314-4D30-83B8-09C5D82B3021}"/>
    <hyperlink ref="C118" location="Spells!A1" display="Animal Messenger" xr:uid="{C18A5E95-D616-44E0-9A83-71E599B2EDE8}"/>
    <hyperlink ref="M119" location="Spells!A1" display="Expand" xr:uid="{CE2F429C-08BB-4A47-9B81-126A371AE5A9}"/>
    <hyperlink ref="C119" location="Spells!A1" display="Calm Emotions" xr:uid="{74E159CF-C0A5-4288-B2A5-5E0D2E0ECFF5}"/>
    <hyperlink ref="M120" location="Spells!A1" display="Expand" xr:uid="{021B2176-01C0-467F-9377-9751CA614591}"/>
    <hyperlink ref="C120" location="Spells!A1" display="Enhance Ability" xr:uid="{1A8A47A9-FA84-472D-B6C2-7F0CB20BBEC1}"/>
    <hyperlink ref="M121" location="Spells!A1" display="Expand" xr:uid="{6E62B503-9AA3-411C-A930-3B25849F7127}"/>
    <hyperlink ref="C121" location="Spells!A1" display="Enthrall" xr:uid="{F3D8D820-FC9C-408C-8E2E-7E84F2857C35}"/>
    <hyperlink ref="M122" location="Spells!A1" display="Expand" xr:uid="{74F4A844-FB98-473E-95F5-EA31991C3FEC}"/>
    <hyperlink ref="C122" location="Spells!A1" display="Heat Metal" xr:uid="{EDCE152E-614F-4707-891A-F1FC2C0F1CC6}"/>
    <hyperlink ref="M123" location="Spells!A1" display="Expand" xr:uid="{936F0295-C177-4F28-A608-32FEFA449289}"/>
    <hyperlink ref="C123" location="Spells!A1" display="Locate Animals or Plants" xr:uid="{FBF0EA05-CA5D-4BA7-AFC4-9BC460ADF956}"/>
    <hyperlink ref="M124" location="Spells!A1" display="Expand" xr:uid="{18F448C8-CF44-4341-924C-94537019EE68}"/>
    <hyperlink ref="C124" location="Spells!A1" display="Silence" xr:uid="{F0E8BD6E-CF1C-4FC6-94EF-B07A25B7ED88}"/>
    <hyperlink ref="M153" location="Spells!A1" display="Expand" xr:uid="{DFB7C3A2-2F92-4A15-8D76-3E05FA2CD90B}"/>
    <hyperlink ref="C153" location="Spells!A1" display="Plant Growth" xr:uid="{1AD42384-E527-42FC-BEFB-5881B682B0BA}"/>
    <hyperlink ref="M154" location="Spells!A1" display="Expand" xr:uid="{F1C508F2-9438-470D-9082-89CF0C7BC04F}"/>
    <hyperlink ref="C154" location="Spells!A1" display="Speak With Dead" xr:uid="{1F05C1C5-3B14-405E-96BF-78BC47F18CAB}"/>
    <hyperlink ref="M155" location="Spells!A1" display="Expand" xr:uid="{1FF6AB2E-7693-4246-9DD7-AE8E67A75CCF}"/>
    <hyperlink ref="C155" location="Spells!A1" display="Speak With Plants" xr:uid="{505B5F86-65CA-467B-8D28-9C811EB88C0A}"/>
    <hyperlink ref="M189" location="Spells!A1" display="Expand" xr:uid="{27ADE9C6-296C-4716-AE22-D881EF936318}"/>
    <hyperlink ref="C189" location="Spells!A1" display="Complusion" xr:uid="{91357F1F-93E9-44DB-97BF-51179F2BA347}"/>
    <hyperlink ref="M190" location="Spells!A1" display="Expand" xr:uid="{6211C74A-D74E-49E8-8A35-A6BDA74592C0}"/>
    <hyperlink ref="C190" location="Spells!A1" display="Freedom of Movement" xr:uid="{5A515B92-AE6D-44BE-811E-08BB0DB6F861}"/>
    <hyperlink ref="M216" location="Spells!A1" display="Expand" xr:uid="{12DD07F3-A128-4D66-8C2C-C6AEBBA832F9}"/>
    <hyperlink ref="C216" location="Spells!A1" display="Awaken" xr:uid="{F6CFF462-E9E7-4825-B0A1-88DD27EAFA0B}"/>
    <hyperlink ref="M217" location="Spells!A1" display="Expand" xr:uid="{FA1152BE-9B3E-4A91-9D38-747F1F4CD058}"/>
    <hyperlink ref="C217" location="Spells!A1" display="Greater Restoration" xr:uid="{6D7DEEB7-738F-482C-AF21-156494F087F4}"/>
    <hyperlink ref="M218" location="Spells!A1" display="Expand" xr:uid="{6DB41DCC-888A-4B7D-AD93-B849724FCB8F}"/>
    <hyperlink ref="C218" location="Spells!A1" display="Mass Cure Wounds" xr:uid="{0300B108-0870-41C0-A773-F4428FD6E7B0}"/>
    <hyperlink ref="M219" location="Spells!A1" display="Expand" xr:uid="{A3D881DF-9888-4A20-BFD4-9A3FE4CEB606}"/>
    <hyperlink ref="C219" location="Spells!A1" display="Raise Dead" xr:uid="{7BF74CAF-324A-43C7-9185-EE2E4727C0AE}"/>
    <hyperlink ref="M239" location="Spells!A1" display="Expand" xr:uid="{7CB74A4E-AEBD-454A-BC0A-9784002C7360}"/>
    <hyperlink ref="C239" location="Spells!A1" display="Find the Path" xr:uid="{0F8FAD4E-8FEE-4D4E-9B97-3419B5A02FF6}"/>
    <hyperlink ref="M255" location="Spells!A1" display="Expand" xr:uid="{B55E1F21-FFC2-412F-8B79-E00E038BB221}"/>
    <hyperlink ref="C255" location="Spells!A1" display="Regenerate" xr:uid="{1F99B71F-BD08-4FA1-BE39-2650B52BFC61}"/>
    <hyperlink ref="M256" location="Spells!A1" display="Expand" xr:uid="{4938B826-E5F1-4ECA-B7E8-C516615F7B8C}"/>
    <hyperlink ref="C256" location="Spells!A1" display="Resurrection" xr:uid="{FEF84F6C-8B22-4BF4-8196-02B4EAADD799}"/>
    <hyperlink ref="M269" location="Spells!A1" display="Expand" xr:uid="{94C64EC2-A958-4A43-86D6-C90443382ABF}"/>
    <hyperlink ref="C269" location="Spells!A1" display="Glibness" xr:uid="{E195D25E-5F8D-4F39-98A8-C417F2AC1813}"/>
    <hyperlink ref="M156" location="Spells!A1" display="Expand" xr:uid="{489CBAC0-316B-4BD0-8E4A-1D7FECB2C8F0}"/>
    <hyperlink ref="C156" location="Spells!A1" display="Aura of Vitality" xr:uid="{E57C5DF1-1628-4A72-BBF5-7A739AFE52A5}"/>
    <hyperlink ref="M157" location="Spells!A1" display="Expand" xr:uid="{C3634C84-398F-4B7C-B9F8-6BC3A5EDAB88}"/>
    <hyperlink ref="C157" location="Spells!A1" display="Blinding Smite" xr:uid="{AA63A30D-1253-4EF8-93F5-66DBF15924B1}"/>
    <hyperlink ref="M158" location="Spells!A1" display="Expand" xr:uid="{EB5E9B5D-984D-44BC-AB76-269C9EAC069C}"/>
    <hyperlink ref="C158" location="Spells!A1" display="Create Food and Water" xr:uid="{07248749-EAE2-4EDC-8961-E42E3A20B8D6}"/>
    <hyperlink ref="M159" location="Spells!A1" display="Expand" xr:uid="{FE024EFA-689F-4849-90B3-0FB670A2F784}"/>
    <hyperlink ref="C159" location="Spells!A1" display="Crusader's Mantle" xr:uid="{B4EAEF2D-5687-43E6-B094-14C8E3683725}"/>
    <hyperlink ref="M160" location="Spells!A1" display="Expand" xr:uid="{DC25B1D4-F4E6-4493-92A8-E4B465E1B322}"/>
    <hyperlink ref="C160" location="Spells!A1" display="Daylight" xr:uid="{62AB6A3A-9633-4123-AC70-5DFA512BD571}"/>
    <hyperlink ref="M161" location="Spells!A1" display="Expand" xr:uid="{D91387FC-5BD3-471C-88A6-AEEA37913765}"/>
    <hyperlink ref="C161" location="Spells!A1" display="Elemental Weapon" xr:uid="{72E71198-B528-4267-BFFE-4B682D1C1360}"/>
    <hyperlink ref="M162" location="Spells!A1" display="Expand" xr:uid="{E050F77A-E100-431F-A4F8-64D9FD4B8C1A}"/>
    <hyperlink ref="C162" location="Spells!A1" display="Revivify" xr:uid="{0635113C-DC1A-47C9-9C39-720546DABC0D}"/>
    <hyperlink ref="M163" location="Spells!A1" display="Expand" xr:uid="{0F4A0672-088B-4B3C-B96D-0D40FF657DD4}"/>
    <hyperlink ref="C163" location="Spells!A1" display="Spirit Shroud" xr:uid="{766BCA03-87F6-452A-ABC9-701C0E097D05}"/>
  </hyperlink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cbRowHighlight">
              <controlPr defaultSize="0" autoFill="0" autoLine="0" autoPict="0">
                <anchor moveWithCells="1" sizeWithCells="1">
                  <from>
                    <xdr:col>5</xdr:col>
                    <xdr:colOff>0</xdr:colOff>
                    <xdr:row>5</xdr:row>
                    <xdr:rowOff>0</xdr:rowOff>
                  </from>
                  <to>
                    <xdr:col>6</xdr:col>
                    <xdr:colOff>0</xdr:colOff>
                    <xdr:row>6</xdr:row>
                    <xdr:rowOff>28575</xdr:rowOff>
                  </to>
                </anchor>
              </controlPr>
            </control>
          </mc:Choice>
        </mc:AlternateContent>
        <mc:AlternateContent xmlns:mc="http://schemas.openxmlformats.org/markup-compatibility/2006">
          <mc:Choice Requires="x14">
            <control shapeId="1036" r:id="rId5" name="SpellAbilityDD">
              <controlPr defaultSize="0" autoLine="0" autoPict="0" macro="[0]!SCSkill">
                <anchor moveWithCells="1" sizeWithCells="1">
                  <from>
                    <xdr:col>4</xdr:col>
                    <xdr:colOff>0</xdr:colOff>
                    <xdr:row>5</xdr:row>
                    <xdr:rowOff>0</xdr:rowOff>
                  </from>
                  <to>
                    <xdr:col>5</xdr:col>
                    <xdr:colOff>0</xdr:colOff>
                    <xdr:row>6</xdr:row>
                    <xdr:rowOff>0</xdr:rowOff>
                  </to>
                </anchor>
              </controlPr>
            </control>
          </mc:Choice>
        </mc:AlternateContent>
      </controls>
    </mc:Choice>
  </mc:AlternateContent>
  <tableParts count="4">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B7462-3E77-4490-A8A5-5334C9DE4A05}">
  <sheetPr codeName="Monsters"/>
  <dimension ref="A1:Q12"/>
  <sheetViews>
    <sheetView showRowColHeaders="0" workbookViewId="0">
      <selection activeCell="C4" sqref="C4"/>
    </sheetView>
  </sheetViews>
  <sheetFormatPr defaultColWidth="9.140625" defaultRowHeight="15" x14ac:dyDescent="0.25"/>
  <cols>
    <col min="1" max="1" width="9.140625" customWidth="1"/>
    <col min="2" max="2" width="24.5703125" customWidth="1"/>
    <col min="3" max="3" width="34.7109375" customWidth="1"/>
    <col min="4" max="7" width="11" customWidth="1"/>
    <col min="8" max="8" width="90.5703125" customWidth="1"/>
    <col min="10" max="17" width="0" hidden="1" customWidth="1"/>
  </cols>
  <sheetData>
    <row r="1" spans="1:17" x14ac:dyDescent="0.25">
      <c r="J1" t="s">
        <v>1061</v>
      </c>
      <c r="P1" t="s">
        <v>1062</v>
      </c>
    </row>
    <row r="2" spans="1:17" x14ac:dyDescent="0.25">
      <c r="A2" s="42" t="s">
        <v>1018</v>
      </c>
      <c r="I2" t="s">
        <v>1070</v>
      </c>
      <c r="J2" t="s">
        <v>52</v>
      </c>
      <c r="K2" t="s">
        <v>990</v>
      </c>
      <c r="L2" t="s">
        <v>991</v>
      </c>
      <c r="M2" t="s">
        <v>992</v>
      </c>
      <c r="N2" t="s">
        <v>993</v>
      </c>
      <c r="P2" t="s">
        <v>881</v>
      </c>
      <c r="Q2" t="s">
        <v>882</v>
      </c>
    </row>
    <row r="3" spans="1:17" x14ac:dyDescent="0.25">
      <c r="A3" t="s">
        <v>1013</v>
      </c>
      <c r="B3" t="s">
        <v>1014</v>
      </c>
      <c r="C3" t="s">
        <v>52</v>
      </c>
      <c r="D3" t="s">
        <v>47</v>
      </c>
      <c r="E3" t="s">
        <v>1015</v>
      </c>
      <c r="F3" t="s">
        <v>36</v>
      </c>
      <c r="G3" t="s">
        <v>37</v>
      </c>
      <c r="H3" t="s">
        <v>59</v>
      </c>
      <c r="J3" t="s">
        <v>1066</v>
      </c>
      <c r="K3" t="s">
        <v>1021</v>
      </c>
      <c r="L3" t="s">
        <v>1022</v>
      </c>
      <c r="M3" t="s">
        <v>1023</v>
      </c>
      <c r="N3" t="s">
        <v>1024</v>
      </c>
      <c r="P3">
        <v>1</v>
      </c>
      <c r="Q3" t="s">
        <v>883</v>
      </c>
    </row>
    <row r="4" spans="1:17" x14ac:dyDescent="0.25">
      <c r="J4" t="s">
        <v>1067</v>
      </c>
      <c r="K4" t="s">
        <v>1026</v>
      </c>
      <c r="L4" t="s">
        <v>1027</v>
      </c>
      <c r="M4" t="s">
        <v>1028</v>
      </c>
      <c r="N4" t="s">
        <v>1029</v>
      </c>
      <c r="P4">
        <v>2</v>
      </c>
      <c r="Q4" t="s">
        <v>888</v>
      </c>
    </row>
    <row r="5" spans="1:17" x14ac:dyDescent="0.25">
      <c r="J5" t="s">
        <v>995</v>
      </c>
      <c r="K5" t="s">
        <v>996</v>
      </c>
      <c r="L5" t="s">
        <v>1064</v>
      </c>
      <c r="M5" t="s">
        <v>1065</v>
      </c>
      <c r="N5" t="s">
        <v>1063</v>
      </c>
      <c r="P5">
        <v>3</v>
      </c>
      <c r="Q5" t="s">
        <v>889</v>
      </c>
    </row>
    <row r="6" spans="1:17" x14ac:dyDescent="0.25">
      <c r="P6">
        <v>4</v>
      </c>
      <c r="Q6" t="s">
        <v>890</v>
      </c>
    </row>
    <row r="11" spans="1:17" x14ac:dyDescent="0.25">
      <c r="A11" s="42" t="s">
        <v>1017</v>
      </c>
    </row>
    <row r="12" spans="1:17" x14ac:dyDescent="0.25">
      <c r="A12" t="s">
        <v>1016</v>
      </c>
      <c r="B12" t="s">
        <v>1014</v>
      </c>
      <c r="C12" t="s">
        <v>52</v>
      </c>
      <c r="D12" t="s">
        <v>47</v>
      </c>
      <c r="E12" t="s">
        <v>1015</v>
      </c>
      <c r="F12" t="s">
        <v>36</v>
      </c>
      <c r="G12" t="s">
        <v>37</v>
      </c>
      <c r="H12" t="s">
        <v>59</v>
      </c>
    </row>
  </sheetData>
  <pageMargins left="0.7" right="0.7" top="0.75" bottom="0.75" header="0.3" footer="0.3"/>
  <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5FD8B-E193-4794-A40C-486A8A19AF17}">
  <sheetPr codeName="Monster"/>
  <dimension ref="A1:T113"/>
  <sheetViews>
    <sheetView showGridLines="0" showRowColHeaders="0" zoomScaleNormal="100" workbookViewId="0"/>
  </sheetViews>
  <sheetFormatPr defaultColWidth="8.85546875" defaultRowHeight="15" x14ac:dyDescent="0.25"/>
  <cols>
    <col min="1" max="3" width="8.7109375" customWidth="1"/>
    <col min="4" max="4" width="2.7109375" style="8" customWidth="1"/>
    <col min="5" max="5" width="15.7109375" customWidth="1"/>
    <col min="6" max="7" width="8.7109375" customWidth="1"/>
    <col min="8" max="8" width="2.7109375" style="8" customWidth="1"/>
    <col min="9" max="13" width="15.7109375" customWidth="1"/>
    <col min="14" max="14" width="8.28515625" customWidth="1"/>
    <col min="15" max="15" width="8.42578125" customWidth="1"/>
    <col min="16" max="16" width="2.7109375" style="8" customWidth="1"/>
    <col min="17" max="19" width="15.7109375" customWidth="1"/>
    <col min="20" max="20" width="2.7109375" style="8" customWidth="1"/>
    <col min="21" max="28" width="8.85546875" customWidth="1"/>
  </cols>
  <sheetData>
    <row r="1" spans="1:20" x14ac:dyDescent="0.25">
      <c r="E1" t="s">
        <v>27</v>
      </c>
      <c r="F1" t="s">
        <v>26</v>
      </c>
      <c r="G1" s="41" t="s">
        <v>411</v>
      </c>
      <c r="H1" s="8" t="s">
        <v>54</v>
      </c>
      <c r="I1" t="s">
        <v>50</v>
      </c>
      <c r="J1" t="s">
        <v>20</v>
      </c>
      <c r="K1" t="s">
        <v>28</v>
      </c>
      <c r="L1" s="41" t="s">
        <v>411</v>
      </c>
      <c r="M1" s="41" t="s">
        <v>412</v>
      </c>
      <c r="N1" s="41" t="s">
        <v>413</v>
      </c>
      <c r="O1" s="41" t="s">
        <v>414</v>
      </c>
      <c r="P1" s="8" t="s">
        <v>54</v>
      </c>
      <c r="Q1" s="42" t="s">
        <v>1006</v>
      </c>
      <c r="T1" s="8" t="s">
        <v>54</v>
      </c>
    </row>
    <row r="2" spans="1:20" x14ac:dyDescent="0.25">
      <c r="D2" s="8" t="s">
        <v>54</v>
      </c>
      <c r="H2" s="8" t="s">
        <v>54</v>
      </c>
      <c r="P2" s="8" t="s">
        <v>54</v>
      </c>
      <c r="Q2" t="s">
        <v>18</v>
      </c>
      <c r="R2" t="s">
        <v>28</v>
      </c>
      <c r="S2" s="41" t="s">
        <v>411</v>
      </c>
      <c r="T2" s="8" t="s">
        <v>54</v>
      </c>
    </row>
    <row r="3" spans="1:20" x14ac:dyDescent="0.25">
      <c r="D3" s="8" t="s">
        <v>54</v>
      </c>
      <c r="E3" t="s">
        <v>93</v>
      </c>
      <c r="F3" t="s">
        <v>1019</v>
      </c>
      <c r="G3" s="41" t="s">
        <v>411</v>
      </c>
      <c r="H3" s="8" t="s">
        <v>54</v>
      </c>
      <c r="P3" s="8" t="s">
        <v>54</v>
      </c>
      <c r="T3" s="8" t="s">
        <v>54</v>
      </c>
    </row>
    <row r="4" spans="1:20" x14ac:dyDescent="0.25">
      <c r="B4" t="s">
        <v>69</v>
      </c>
      <c r="D4" s="8" t="s">
        <v>54</v>
      </c>
      <c r="H4" s="8" t="s">
        <v>54</v>
      </c>
      <c r="I4" s="42" t="s">
        <v>92</v>
      </c>
      <c r="P4" s="8" t="s">
        <v>54</v>
      </c>
      <c r="Q4" t="s">
        <v>23</v>
      </c>
      <c r="R4" t="s">
        <v>28</v>
      </c>
      <c r="S4" s="41" t="s">
        <v>411</v>
      </c>
      <c r="T4" s="8" t="s">
        <v>54</v>
      </c>
    </row>
    <row r="5" spans="1:20" x14ac:dyDescent="0.25">
      <c r="D5" s="8" t="s">
        <v>54</v>
      </c>
      <c r="E5" t="s">
        <v>53</v>
      </c>
      <c r="F5" t="s">
        <v>1019</v>
      </c>
      <c r="G5" s="41" t="s">
        <v>411</v>
      </c>
      <c r="H5" s="8" t="s">
        <v>54</v>
      </c>
      <c r="I5" t="s">
        <v>38</v>
      </c>
      <c r="J5" t="s">
        <v>39</v>
      </c>
      <c r="K5" t="s">
        <v>40</v>
      </c>
      <c r="L5" t="s">
        <v>7</v>
      </c>
      <c r="M5" t="s">
        <v>41</v>
      </c>
      <c r="N5" t="s">
        <v>59</v>
      </c>
      <c r="O5" s="46" t="s">
        <v>411</v>
      </c>
      <c r="P5" s="8" t="s">
        <v>54</v>
      </c>
      <c r="T5" s="8" t="s">
        <v>54</v>
      </c>
    </row>
    <row r="6" spans="1:20" x14ac:dyDescent="0.25">
      <c r="D6" s="8" t="s">
        <v>54</v>
      </c>
      <c r="H6" s="8" t="s">
        <v>54</v>
      </c>
      <c r="P6" s="8" t="s">
        <v>54</v>
      </c>
      <c r="Q6" t="s">
        <v>24</v>
      </c>
      <c r="R6" t="s">
        <v>28</v>
      </c>
      <c r="S6" s="41" t="s">
        <v>411</v>
      </c>
      <c r="T6" s="8" t="s">
        <v>54</v>
      </c>
    </row>
    <row r="7" spans="1:20" x14ac:dyDescent="0.25">
      <c r="D7" s="8" t="s">
        <v>54</v>
      </c>
      <c r="E7" t="s">
        <v>190</v>
      </c>
      <c r="F7" t="s">
        <v>53</v>
      </c>
      <c r="G7" s="41" t="s">
        <v>411</v>
      </c>
      <c r="H7" s="8" t="s">
        <v>54</v>
      </c>
      <c r="I7" t="s">
        <v>12</v>
      </c>
      <c r="J7" t="s">
        <v>11</v>
      </c>
      <c r="K7" t="s">
        <v>13</v>
      </c>
      <c r="P7" s="8" t="s">
        <v>54</v>
      </c>
      <c r="T7" s="8" t="s">
        <v>54</v>
      </c>
    </row>
    <row r="8" spans="1:20" x14ac:dyDescent="0.25">
      <c r="D8" s="8" t="s">
        <v>54</v>
      </c>
      <c r="H8" s="8" t="s">
        <v>54</v>
      </c>
      <c r="P8" s="8" t="s">
        <v>54</v>
      </c>
      <c r="Q8" t="s">
        <v>81</v>
      </c>
      <c r="R8" t="s">
        <v>28</v>
      </c>
      <c r="S8" s="41" t="s">
        <v>411</v>
      </c>
      <c r="T8" s="8" t="s">
        <v>54</v>
      </c>
    </row>
    <row r="9" spans="1:20" x14ac:dyDescent="0.25">
      <c r="A9" s="1" t="s">
        <v>52</v>
      </c>
      <c r="B9" s="1"/>
      <c r="C9" s="1"/>
      <c r="D9" s="8" t="s">
        <v>54</v>
      </c>
      <c r="E9" t="s">
        <v>885</v>
      </c>
      <c r="F9" t="s">
        <v>886</v>
      </c>
      <c r="G9" t="s">
        <v>887</v>
      </c>
      <c r="H9" s="8" t="s">
        <v>54</v>
      </c>
      <c r="I9" t="s">
        <v>43</v>
      </c>
      <c r="J9" t="s">
        <v>4</v>
      </c>
      <c r="K9" t="s">
        <v>44</v>
      </c>
      <c r="L9" t="s">
        <v>45</v>
      </c>
      <c r="M9" t="s">
        <v>7</v>
      </c>
      <c r="N9" t="s">
        <v>6</v>
      </c>
      <c r="O9" t="s">
        <v>8</v>
      </c>
      <c r="P9" s="8" t="s">
        <v>54</v>
      </c>
      <c r="T9" s="8" t="s">
        <v>54</v>
      </c>
    </row>
    <row r="10" spans="1:20" x14ac:dyDescent="0.25">
      <c r="A10" s="6" t="s">
        <v>29</v>
      </c>
      <c r="B10" s="7">
        <v>10</v>
      </c>
      <c r="C10" s="50">
        <f t="shared" ref="C10:C15" si="0">ROUNDDOWN((B10-10)/2, 0)+IF(AND(B10&lt;10,MOD(B10,2)=1),-1,0)</f>
        <v>0</v>
      </c>
      <c r="D10" s="8" t="s">
        <v>54</v>
      </c>
      <c r="H10" s="8" t="s">
        <v>54</v>
      </c>
      <c r="P10" s="8" t="s">
        <v>54</v>
      </c>
      <c r="T10" s="8" t="s">
        <v>54</v>
      </c>
    </row>
    <row r="11" spans="1:20" x14ac:dyDescent="0.25">
      <c r="A11" s="6" t="s">
        <v>30</v>
      </c>
      <c r="B11" s="7">
        <v>10</v>
      </c>
      <c r="C11" s="50">
        <f t="shared" si="0"/>
        <v>0</v>
      </c>
      <c r="D11" s="8" t="s">
        <v>54</v>
      </c>
      <c r="H11" s="8" t="s">
        <v>54</v>
      </c>
      <c r="P11" s="8" t="s">
        <v>54</v>
      </c>
      <c r="Q11" s="42" t="s">
        <v>42</v>
      </c>
      <c r="T11" s="8" t="s">
        <v>54</v>
      </c>
    </row>
    <row r="12" spans="1:20" x14ac:dyDescent="0.25">
      <c r="A12" s="6" t="s">
        <v>31</v>
      </c>
      <c r="B12" s="7">
        <v>10</v>
      </c>
      <c r="C12" s="50">
        <f t="shared" si="0"/>
        <v>0</v>
      </c>
      <c r="D12" s="8" t="s">
        <v>54</v>
      </c>
      <c r="E12" s="42" t="s">
        <v>988</v>
      </c>
      <c r="H12" s="8" t="s">
        <v>54</v>
      </c>
      <c r="I12" s="9" t="s">
        <v>59</v>
      </c>
      <c r="P12" s="8" t="s">
        <v>54</v>
      </c>
      <c r="Q12" t="s">
        <v>487</v>
      </c>
      <c r="R12" t="s">
        <v>42</v>
      </c>
      <c r="S12" t="s">
        <v>82</v>
      </c>
      <c r="T12" s="8" t="s">
        <v>54</v>
      </c>
    </row>
    <row r="13" spans="1:20" x14ac:dyDescent="0.25">
      <c r="A13" s="6" t="s">
        <v>32</v>
      </c>
      <c r="B13" s="7">
        <v>10</v>
      </c>
      <c r="C13" s="50">
        <f t="shared" si="0"/>
        <v>0</v>
      </c>
      <c r="D13" s="8" t="s">
        <v>54</v>
      </c>
      <c r="H13" s="8" t="s">
        <v>54</v>
      </c>
      <c r="P13" s="8" t="s">
        <v>54</v>
      </c>
      <c r="R13" s="43"/>
      <c r="T13" s="8" t="s">
        <v>54</v>
      </c>
    </row>
    <row r="14" spans="1:20" x14ac:dyDescent="0.25">
      <c r="A14" s="6" t="s">
        <v>33</v>
      </c>
      <c r="B14" s="7">
        <v>10</v>
      </c>
      <c r="C14" s="50">
        <f t="shared" si="0"/>
        <v>0</v>
      </c>
      <c r="D14" s="8" t="s">
        <v>54</v>
      </c>
      <c r="E14" t="s">
        <v>880</v>
      </c>
      <c r="F14" t="s">
        <v>4</v>
      </c>
      <c r="G14" t="s">
        <v>3</v>
      </c>
      <c r="H14" s="8" t="s">
        <v>54</v>
      </c>
      <c r="P14" s="8" t="s">
        <v>54</v>
      </c>
      <c r="T14" s="8" t="s">
        <v>54</v>
      </c>
    </row>
    <row r="15" spans="1:20" x14ac:dyDescent="0.25">
      <c r="A15" s="6" t="s">
        <v>34</v>
      </c>
      <c r="B15" s="7">
        <v>10</v>
      </c>
      <c r="C15" s="50">
        <f t="shared" si="0"/>
        <v>0</v>
      </c>
      <c r="D15" s="8" t="s">
        <v>54</v>
      </c>
      <c r="H15" s="8" t="s">
        <v>54</v>
      </c>
      <c r="P15" s="8" t="s">
        <v>54</v>
      </c>
      <c r="Q15" s="42" t="s">
        <v>102</v>
      </c>
      <c r="T15" s="8" t="s">
        <v>54</v>
      </c>
    </row>
    <row r="16" spans="1:20" x14ac:dyDescent="0.25">
      <c r="D16" s="8" t="s">
        <v>54</v>
      </c>
      <c r="H16" s="8" t="s">
        <v>54</v>
      </c>
      <c r="P16" s="8" t="s">
        <v>54</v>
      </c>
      <c r="Q16" t="s">
        <v>91</v>
      </c>
      <c r="R16" t="s">
        <v>102</v>
      </c>
      <c r="S16" t="s">
        <v>1007</v>
      </c>
      <c r="T16" s="8" t="s">
        <v>54</v>
      </c>
    </row>
    <row r="17" spans="1:20" x14ac:dyDescent="0.25">
      <c r="D17" s="8" t="s">
        <v>54</v>
      </c>
      <c r="H17" s="8" t="s">
        <v>54</v>
      </c>
      <c r="P17" s="8" t="s">
        <v>54</v>
      </c>
      <c r="R17" s="16"/>
      <c r="T17" s="8" t="s">
        <v>54</v>
      </c>
    </row>
    <row r="18" spans="1:20" x14ac:dyDescent="0.25">
      <c r="A18" s="10" t="s">
        <v>47</v>
      </c>
      <c r="B18" t="s">
        <v>36</v>
      </c>
      <c r="C18" t="s">
        <v>37</v>
      </c>
      <c r="D18" s="8" t="s">
        <v>54</v>
      </c>
      <c r="H18" s="8" t="s">
        <v>54</v>
      </c>
      <c r="P18" s="8" t="s">
        <v>54</v>
      </c>
      <c r="R18" s="16"/>
      <c r="T18" s="8" t="s">
        <v>54</v>
      </c>
    </row>
    <row r="19" spans="1:20" x14ac:dyDescent="0.25">
      <c r="A19" s="11"/>
      <c r="D19" s="8" t="s">
        <v>54</v>
      </c>
      <c r="H19" s="8" t="s">
        <v>54</v>
      </c>
      <c r="P19" s="8" t="s">
        <v>54</v>
      </c>
      <c r="Q19" s="42" t="s">
        <v>1068</v>
      </c>
      <c r="T19" s="8" t="s">
        <v>54</v>
      </c>
    </row>
    <row r="20" spans="1:20" x14ac:dyDescent="0.25">
      <c r="A20" s="10" t="s">
        <v>35</v>
      </c>
      <c r="C20" s="9" t="s">
        <v>1071</v>
      </c>
      <c r="D20" s="8" t="s">
        <v>54</v>
      </c>
      <c r="H20" s="8" t="s">
        <v>54</v>
      </c>
      <c r="P20" s="8" t="s">
        <v>54</v>
      </c>
      <c r="Q20" t="s">
        <v>43</v>
      </c>
      <c r="R20" s="16" t="s">
        <v>4</v>
      </c>
      <c r="S20" t="s">
        <v>1069</v>
      </c>
      <c r="T20" s="8" t="s">
        <v>54</v>
      </c>
    </row>
    <row r="21" spans="1:20" x14ac:dyDescent="0.25">
      <c r="A21" s="5"/>
      <c r="C21" s="5"/>
      <c r="D21" s="8" t="s">
        <v>54</v>
      </c>
      <c r="H21" s="8" t="s">
        <v>54</v>
      </c>
      <c r="P21" s="8" t="s">
        <v>54</v>
      </c>
      <c r="R21" s="16"/>
      <c r="T21" s="8" t="s">
        <v>54</v>
      </c>
    </row>
    <row r="22" spans="1:20" x14ac:dyDescent="0.25">
      <c r="D22" s="8" t="s">
        <v>54</v>
      </c>
      <c r="H22" s="8" t="s">
        <v>54</v>
      </c>
      <c r="P22" s="8" t="s">
        <v>54</v>
      </c>
      <c r="T22" s="8" t="s">
        <v>54</v>
      </c>
    </row>
    <row r="23" spans="1:20" x14ac:dyDescent="0.25">
      <c r="A23" s="9" t="s">
        <v>39</v>
      </c>
      <c r="B23" s="9" t="s">
        <v>25</v>
      </c>
      <c r="C23" s="9" t="s">
        <v>1005</v>
      </c>
      <c r="D23" s="8" t="s">
        <v>54</v>
      </c>
      <c r="H23" s="8" t="s">
        <v>54</v>
      </c>
      <c r="P23" s="8" t="s">
        <v>54</v>
      </c>
      <c r="T23" s="8" t="s">
        <v>54</v>
      </c>
    </row>
    <row r="24" spans="1:20" x14ac:dyDescent="0.25">
      <c r="A24" s="5"/>
      <c r="B24" s="5"/>
      <c r="C24" s="5"/>
      <c r="D24" s="8" t="s">
        <v>54</v>
      </c>
      <c r="H24" s="8" t="s">
        <v>54</v>
      </c>
      <c r="P24" s="8" t="s">
        <v>54</v>
      </c>
      <c r="T24" s="8" t="s">
        <v>54</v>
      </c>
    </row>
    <row r="25" spans="1:20" x14ac:dyDescent="0.25">
      <c r="A25" s="9" t="s">
        <v>191</v>
      </c>
      <c r="B25" s="9" t="s">
        <v>51</v>
      </c>
      <c r="C25" s="9"/>
      <c r="D25" s="8" t="s">
        <v>54</v>
      </c>
      <c r="H25" s="8" t="s">
        <v>54</v>
      </c>
      <c r="P25" s="8" t="s">
        <v>54</v>
      </c>
      <c r="T25" s="8" t="s">
        <v>54</v>
      </c>
    </row>
    <row r="26" spans="1:20" x14ac:dyDescent="0.25">
      <c r="A26" s="5"/>
      <c r="B26" s="5"/>
      <c r="C26" s="5"/>
      <c r="D26" s="8" t="s">
        <v>54</v>
      </c>
      <c r="H26" s="8" t="s">
        <v>54</v>
      </c>
      <c r="P26" s="8" t="s">
        <v>54</v>
      </c>
      <c r="T26" s="8" t="s">
        <v>54</v>
      </c>
    </row>
    <row r="27" spans="1:20" x14ac:dyDescent="0.25">
      <c r="D27" s="8" t="s">
        <v>54</v>
      </c>
      <c r="H27" s="8" t="s">
        <v>54</v>
      </c>
      <c r="P27" s="8" t="s">
        <v>54</v>
      </c>
      <c r="T27" s="8" t="s">
        <v>54</v>
      </c>
    </row>
    <row r="28" spans="1:20" x14ac:dyDescent="0.25">
      <c r="D28" s="8" t="s">
        <v>54</v>
      </c>
      <c r="H28" s="8" t="s">
        <v>54</v>
      </c>
      <c r="P28" s="8" t="s">
        <v>54</v>
      </c>
      <c r="T28" s="8" t="s">
        <v>54</v>
      </c>
    </row>
    <row r="29" spans="1:20" x14ac:dyDescent="0.25">
      <c r="D29" s="8" t="s">
        <v>54</v>
      </c>
      <c r="H29" s="8" t="s">
        <v>54</v>
      </c>
      <c r="P29" s="8" t="s">
        <v>54</v>
      </c>
      <c r="T29" s="8" t="s">
        <v>54</v>
      </c>
    </row>
    <row r="30" spans="1:20" x14ac:dyDescent="0.25">
      <c r="D30" s="8" t="s">
        <v>54</v>
      </c>
      <c r="H30" s="8" t="s">
        <v>54</v>
      </c>
      <c r="P30" s="8" t="s">
        <v>54</v>
      </c>
      <c r="T30" s="8" t="s">
        <v>54</v>
      </c>
    </row>
    <row r="31" spans="1:20" x14ac:dyDescent="0.25">
      <c r="D31" s="8" t="s">
        <v>54</v>
      </c>
      <c r="H31" s="8" t="s">
        <v>54</v>
      </c>
      <c r="P31" s="8" t="s">
        <v>54</v>
      </c>
      <c r="T31" s="8" t="s">
        <v>54</v>
      </c>
    </row>
    <row r="32" spans="1:20" x14ac:dyDescent="0.25">
      <c r="D32" s="8" t="s">
        <v>54</v>
      </c>
      <c r="H32" s="8" t="s">
        <v>54</v>
      </c>
      <c r="P32" s="8" t="s">
        <v>54</v>
      </c>
      <c r="T32" s="8" t="s">
        <v>54</v>
      </c>
    </row>
    <row r="33" spans="4:20" x14ac:dyDescent="0.25">
      <c r="D33" s="8" t="s">
        <v>54</v>
      </c>
      <c r="H33" s="8" t="s">
        <v>54</v>
      </c>
      <c r="P33" s="8" t="s">
        <v>54</v>
      </c>
      <c r="T33" s="8" t="s">
        <v>54</v>
      </c>
    </row>
    <row r="34" spans="4:20" x14ac:dyDescent="0.25">
      <c r="D34" s="8" t="s">
        <v>54</v>
      </c>
      <c r="H34" s="8" t="s">
        <v>54</v>
      </c>
      <c r="P34" s="8" t="s">
        <v>54</v>
      </c>
      <c r="T34" s="8" t="s">
        <v>54</v>
      </c>
    </row>
    <row r="35" spans="4:20" x14ac:dyDescent="0.25">
      <c r="H35" s="8" t="s">
        <v>54</v>
      </c>
      <c r="P35" s="8" t="s">
        <v>54</v>
      </c>
    </row>
    <row r="36" spans="4:20" x14ac:dyDescent="0.25">
      <c r="H36" s="8" t="s">
        <v>54</v>
      </c>
      <c r="P36" s="8" t="s">
        <v>54</v>
      </c>
    </row>
    <row r="37" spans="4:20" x14ac:dyDescent="0.25">
      <c r="H37" s="8" t="s">
        <v>54</v>
      </c>
      <c r="P37" s="8" t="s">
        <v>54</v>
      </c>
    </row>
    <row r="38" spans="4:20" x14ac:dyDescent="0.25">
      <c r="H38" s="8" t="s">
        <v>54</v>
      </c>
      <c r="P38" s="8" t="s">
        <v>54</v>
      </c>
    </row>
    <row r="39" spans="4:20" x14ac:dyDescent="0.25">
      <c r="H39" s="8" t="s">
        <v>54</v>
      </c>
      <c r="P39" s="8" t="s">
        <v>54</v>
      </c>
    </row>
    <row r="40" spans="4:20" x14ac:dyDescent="0.25">
      <c r="H40" s="8" t="s">
        <v>54</v>
      </c>
      <c r="P40" s="8" t="s">
        <v>54</v>
      </c>
    </row>
    <row r="41" spans="4:20" x14ac:dyDescent="0.25">
      <c r="H41" s="8" t="s">
        <v>54</v>
      </c>
      <c r="P41" s="8" t="s">
        <v>54</v>
      </c>
    </row>
    <row r="42" spans="4:20" x14ac:dyDescent="0.25">
      <c r="H42" s="8" t="s">
        <v>54</v>
      </c>
      <c r="P42" s="8" t="s">
        <v>54</v>
      </c>
    </row>
    <row r="43" spans="4:20" x14ac:dyDescent="0.25">
      <c r="H43" s="8" t="s">
        <v>54</v>
      </c>
      <c r="P43" s="8" t="s">
        <v>54</v>
      </c>
    </row>
    <row r="44" spans="4:20" x14ac:dyDescent="0.25">
      <c r="H44" s="8" t="s">
        <v>54</v>
      </c>
      <c r="P44" s="8" t="s">
        <v>54</v>
      </c>
    </row>
    <row r="45" spans="4:20" x14ac:dyDescent="0.25">
      <c r="H45" s="8" t="s">
        <v>54</v>
      </c>
      <c r="P45" s="8" t="s">
        <v>54</v>
      </c>
    </row>
    <row r="46" spans="4:20" x14ac:dyDescent="0.25">
      <c r="H46" s="8" t="s">
        <v>54</v>
      </c>
      <c r="P46" s="8" t="s">
        <v>54</v>
      </c>
    </row>
    <row r="47" spans="4:20" x14ac:dyDescent="0.25">
      <c r="H47" s="8" t="s">
        <v>54</v>
      </c>
      <c r="P47" s="8" t="s">
        <v>54</v>
      </c>
    </row>
    <row r="48" spans="4:20" x14ac:dyDescent="0.25">
      <c r="H48" s="8" t="s">
        <v>54</v>
      </c>
      <c r="P48" s="8" t="s">
        <v>54</v>
      </c>
    </row>
    <row r="49" spans="8:16" x14ac:dyDescent="0.25">
      <c r="H49" s="8" t="s">
        <v>54</v>
      </c>
      <c r="P49" s="8" t="s">
        <v>54</v>
      </c>
    </row>
    <row r="50" spans="8:16" x14ac:dyDescent="0.25">
      <c r="H50" s="8" t="s">
        <v>54</v>
      </c>
      <c r="P50" s="8" t="s">
        <v>54</v>
      </c>
    </row>
    <row r="51" spans="8:16" x14ac:dyDescent="0.25">
      <c r="H51" s="8" t="s">
        <v>54</v>
      </c>
      <c r="P51" s="8" t="s">
        <v>54</v>
      </c>
    </row>
    <row r="52" spans="8:16" x14ac:dyDescent="0.25">
      <c r="H52" s="8" t="s">
        <v>54</v>
      </c>
      <c r="P52" s="8" t="s">
        <v>54</v>
      </c>
    </row>
    <row r="53" spans="8:16" x14ac:dyDescent="0.25">
      <c r="H53" s="8" t="s">
        <v>54</v>
      </c>
      <c r="P53" s="8" t="s">
        <v>54</v>
      </c>
    </row>
    <row r="54" spans="8:16" x14ac:dyDescent="0.25">
      <c r="H54" s="8" t="s">
        <v>54</v>
      </c>
      <c r="P54" s="8" t="s">
        <v>54</v>
      </c>
    </row>
    <row r="55" spans="8:16" x14ac:dyDescent="0.25">
      <c r="H55" s="8" t="s">
        <v>54</v>
      </c>
      <c r="P55" s="8" t="s">
        <v>54</v>
      </c>
    </row>
    <row r="56" spans="8:16" x14ac:dyDescent="0.25">
      <c r="H56" s="8" t="s">
        <v>54</v>
      </c>
      <c r="P56" s="8" t="s">
        <v>54</v>
      </c>
    </row>
    <row r="57" spans="8:16" x14ac:dyDescent="0.25">
      <c r="H57" s="8" t="s">
        <v>54</v>
      </c>
      <c r="P57" s="8" t="s">
        <v>54</v>
      </c>
    </row>
    <row r="58" spans="8:16" x14ac:dyDescent="0.25">
      <c r="H58" s="8" t="s">
        <v>54</v>
      </c>
      <c r="P58" s="8" t="s">
        <v>54</v>
      </c>
    </row>
    <row r="59" spans="8:16" x14ac:dyDescent="0.25">
      <c r="H59" s="8" t="s">
        <v>54</v>
      </c>
      <c r="P59" s="8" t="s">
        <v>54</v>
      </c>
    </row>
    <row r="60" spans="8:16" x14ac:dyDescent="0.25">
      <c r="H60" s="8" t="s">
        <v>54</v>
      </c>
      <c r="P60" s="8" t="s">
        <v>54</v>
      </c>
    </row>
    <row r="61" spans="8:16" x14ac:dyDescent="0.25">
      <c r="H61" s="8" t="s">
        <v>54</v>
      </c>
      <c r="P61" s="8" t="s">
        <v>54</v>
      </c>
    </row>
    <row r="62" spans="8:16" x14ac:dyDescent="0.25">
      <c r="H62" s="8" t="s">
        <v>54</v>
      </c>
      <c r="P62" s="8" t="s">
        <v>54</v>
      </c>
    </row>
    <row r="63" spans="8:16" x14ac:dyDescent="0.25">
      <c r="H63" s="8" t="s">
        <v>54</v>
      </c>
      <c r="P63" s="8" t="s">
        <v>54</v>
      </c>
    </row>
    <row r="64" spans="8:16" x14ac:dyDescent="0.25">
      <c r="H64" s="8" t="s">
        <v>54</v>
      </c>
      <c r="P64" s="8" t="s">
        <v>54</v>
      </c>
    </row>
    <row r="65" spans="8:16" x14ac:dyDescent="0.25">
      <c r="H65" s="8" t="s">
        <v>54</v>
      </c>
      <c r="P65" s="8" t="s">
        <v>54</v>
      </c>
    </row>
    <row r="66" spans="8:16" x14ac:dyDescent="0.25">
      <c r="H66" s="8" t="s">
        <v>54</v>
      </c>
      <c r="P66" s="8" t="s">
        <v>54</v>
      </c>
    </row>
    <row r="67" spans="8:16" x14ac:dyDescent="0.25">
      <c r="H67" s="8" t="s">
        <v>54</v>
      </c>
      <c r="P67" s="8" t="s">
        <v>54</v>
      </c>
    </row>
    <row r="68" spans="8:16" x14ac:dyDescent="0.25">
      <c r="H68" s="8" t="s">
        <v>54</v>
      </c>
      <c r="P68" s="8" t="s">
        <v>54</v>
      </c>
    </row>
    <row r="69" spans="8:16" x14ac:dyDescent="0.25">
      <c r="H69" s="8" t="s">
        <v>54</v>
      </c>
      <c r="P69" s="8" t="s">
        <v>54</v>
      </c>
    </row>
    <row r="70" spans="8:16" x14ac:dyDescent="0.25">
      <c r="H70" s="8" t="s">
        <v>54</v>
      </c>
      <c r="P70" s="8" t="s">
        <v>54</v>
      </c>
    </row>
    <row r="71" spans="8:16" x14ac:dyDescent="0.25">
      <c r="H71" s="8" t="s">
        <v>54</v>
      </c>
      <c r="P71" s="8" t="s">
        <v>54</v>
      </c>
    </row>
    <row r="72" spans="8:16" x14ac:dyDescent="0.25">
      <c r="H72" s="8" t="s">
        <v>54</v>
      </c>
      <c r="P72" s="8" t="s">
        <v>54</v>
      </c>
    </row>
    <row r="73" spans="8:16" x14ac:dyDescent="0.25">
      <c r="H73" s="8" t="s">
        <v>54</v>
      </c>
      <c r="P73" s="8" t="s">
        <v>54</v>
      </c>
    </row>
    <row r="74" spans="8:16" x14ac:dyDescent="0.25">
      <c r="H74" s="8" t="s">
        <v>54</v>
      </c>
      <c r="P74" s="8" t="s">
        <v>54</v>
      </c>
    </row>
    <row r="75" spans="8:16" x14ac:dyDescent="0.25">
      <c r="H75" s="8" t="s">
        <v>54</v>
      </c>
      <c r="P75" s="8" t="s">
        <v>54</v>
      </c>
    </row>
    <row r="76" spans="8:16" x14ac:dyDescent="0.25">
      <c r="H76" s="8" t="s">
        <v>54</v>
      </c>
      <c r="P76" s="8" t="s">
        <v>54</v>
      </c>
    </row>
    <row r="77" spans="8:16" x14ac:dyDescent="0.25">
      <c r="H77" s="8" t="s">
        <v>54</v>
      </c>
      <c r="P77" s="8" t="s">
        <v>54</v>
      </c>
    </row>
    <row r="78" spans="8:16" x14ac:dyDescent="0.25">
      <c r="H78" s="8" t="s">
        <v>54</v>
      </c>
      <c r="P78" s="8" t="s">
        <v>54</v>
      </c>
    </row>
    <row r="79" spans="8:16" x14ac:dyDescent="0.25">
      <c r="H79" s="8" t="s">
        <v>54</v>
      </c>
      <c r="P79" s="8" t="s">
        <v>54</v>
      </c>
    </row>
    <row r="80" spans="8:16" x14ac:dyDescent="0.25">
      <c r="H80" s="8" t="s">
        <v>54</v>
      </c>
      <c r="P80" s="8" t="s">
        <v>54</v>
      </c>
    </row>
    <row r="81" spans="8:16" x14ac:dyDescent="0.25">
      <c r="H81" s="8" t="s">
        <v>54</v>
      </c>
      <c r="P81" s="8" t="s">
        <v>54</v>
      </c>
    </row>
    <row r="82" spans="8:16" x14ac:dyDescent="0.25">
      <c r="H82" s="8" t="s">
        <v>54</v>
      </c>
      <c r="I82" s="4"/>
      <c r="P82" s="8" t="s">
        <v>54</v>
      </c>
    </row>
    <row r="83" spans="8:16" x14ac:dyDescent="0.25">
      <c r="H83" s="8" t="s">
        <v>54</v>
      </c>
      <c r="P83" s="8" t="s">
        <v>54</v>
      </c>
    </row>
    <row r="84" spans="8:16" x14ac:dyDescent="0.25">
      <c r="H84" s="8" t="s">
        <v>54</v>
      </c>
      <c r="P84" s="8" t="s">
        <v>54</v>
      </c>
    </row>
    <row r="85" spans="8:16" x14ac:dyDescent="0.25">
      <c r="H85" s="8" t="s">
        <v>54</v>
      </c>
      <c r="P85" s="8" t="s">
        <v>54</v>
      </c>
    </row>
    <row r="86" spans="8:16" x14ac:dyDescent="0.25">
      <c r="H86" s="8" t="s">
        <v>54</v>
      </c>
      <c r="P86" s="8" t="s">
        <v>54</v>
      </c>
    </row>
    <row r="87" spans="8:16" x14ac:dyDescent="0.25">
      <c r="H87" s="8" t="s">
        <v>54</v>
      </c>
      <c r="P87" s="8" t="s">
        <v>54</v>
      </c>
    </row>
    <row r="88" spans="8:16" x14ac:dyDescent="0.25">
      <c r="H88" s="8" t="s">
        <v>54</v>
      </c>
      <c r="P88" s="8" t="s">
        <v>54</v>
      </c>
    </row>
    <row r="89" spans="8:16" x14ac:dyDescent="0.25">
      <c r="H89" s="8" t="s">
        <v>54</v>
      </c>
      <c r="P89" s="8" t="s">
        <v>54</v>
      </c>
    </row>
    <row r="90" spans="8:16" x14ac:dyDescent="0.25">
      <c r="H90" s="8" t="s">
        <v>54</v>
      </c>
      <c r="P90" s="8" t="s">
        <v>54</v>
      </c>
    </row>
    <row r="91" spans="8:16" x14ac:dyDescent="0.25">
      <c r="H91" s="8" t="s">
        <v>54</v>
      </c>
      <c r="P91" s="8" t="s">
        <v>54</v>
      </c>
    </row>
    <row r="92" spans="8:16" x14ac:dyDescent="0.25">
      <c r="H92" s="8" t="s">
        <v>54</v>
      </c>
      <c r="P92" s="8" t="s">
        <v>54</v>
      </c>
    </row>
    <row r="93" spans="8:16" x14ac:dyDescent="0.25">
      <c r="H93" s="8" t="s">
        <v>54</v>
      </c>
      <c r="P93" s="8" t="s">
        <v>54</v>
      </c>
    </row>
    <row r="94" spans="8:16" x14ac:dyDescent="0.25">
      <c r="H94" s="8" t="s">
        <v>54</v>
      </c>
      <c r="P94" s="8" t="s">
        <v>54</v>
      </c>
    </row>
    <row r="95" spans="8:16" x14ac:dyDescent="0.25">
      <c r="H95" s="8" t="s">
        <v>54</v>
      </c>
      <c r="P95" s="8" t="s">
        <v>54</v>
      </c>
    </row>
    <row r="96" spans="8:16" x14ac:dyDescent="0.25">
      <c r="H96" s="8" t="s">
        <v>54</v>
      </c>
      <c r="P96" s="8" t="s">
        <v>54</v>
      </c>
    </row>
    <row r="97" spans="8:16" x14ac:dyDescent="0.25">
      <c r="H97" s="8" t="s">
        <v>54</v>
      </c>
      <c r="P97" s="8" t="s">
        <v>54</v>
      </c>
    </row>
    <row r="98" spans="8:16" x14ac:dyDescent="0.25">
      <c r="H98" s="8" t="s">
        <v>54</v>
      </c>
      <c r="P98" s="8" t="s">
        <v>54</v>
      </c>
    </row>
    <row r="99" spans="8:16" x14ac:dyDescent="0.25">
      <c r="H99" s="8" t="s">
        <v>54</v>
      </c>
      <c r="P99" s="8" t="s">
        <v>54</v>
      </c>
    </row>
    <row r="100" spans="8:16" x14ac:dyDescent="0.25">
      <c r="H100" s="8" t="s">
        <v>54</v>
      </c>
      <c r="P100" s="8" t="s">
        <v>54</v>
      </c>
    </row>
    <row r="101" spans="8:16" x14ac:dyDescent="0.25">
      <c r="H101" s="8" t="s">
        <v>54</v>
      </c>
      <c r="P101" s="8" t="s">
        <v>54</v>
      </c>
    </row>
    <row r="102" spans="8:16" x14ac:dyDescent="0.25">
      <c r="H102" s="8" t="s">
        <v>54</v>
      </c>
      <c r="P102" s="8" t="s">
        <v>54</v>
      </c>
    </row>
    <row r="103" spans="8:16" x14ac:dyDescent="0.25">
      <c r="H103" s="8" t="s">
        <v>54</v>
      </c>
      <c r="P103" s="8" t="s">
        <v>54</v>
      </c>
    </row>
    <row r="104" spans="8:16" x14ac:dyDescent="0.25">
      <c r="H104" s="8" t="s">
        <v>54</v>
      </c>
      <c r="P104" s="8" t="s">
        <v>54</v>
      </c>
    </row>
    <row r="105" spans="8:16" x14ac:dyDescent="0.25">
      <c r="H105" s="8" t="s">
        <v>54</v>
      </c>
      <c r="P105" s="8" t="s">
        <v>54</v>
      </c>
    </row>
    <row r="106" spans="8:16" x14ac:dyDescent="0.25">
      <c r="H106" s="8" t="s">
        <v>54</v>
      </c>
      <c r="P106" s="8" t="s">
        <v>54</v>
      </c>
    </row>
    <row r="107" spans="8:16" x14ac:dyDescent="0.25">
      <c r="H107" s="8" t="s">
        <v>54</v>
      </c>
      <c r="P107" s="8" t="s">
        <v>54</v>
      </c>
    </row>
    <row r="108" spans="8:16" x14ac:dyDescent="0.25">
      <c r="H108" s="8" t="s">
        <v>54</v>
      </c>
      <c r="P108" s="8" t="s">
        <v>54</v>
      </c>
    </row>
    <row r="109" spans="8:16" x14ac:dyDescent="0.25">
      <c r="H109" s="8" t="s">
        <v>54</v>
      </c>
      <c r="P109" s="8" t="s">
        <v>54</v>
      </c>
    </row>
    <row r="110" spans="8:16" x14ac:dyDescent="0.25">
      <c r="H110" s="8" t="s">
        <v>54</v>
      </c>
      <c r="P110" s="8" t="s">
        <v>54</v>
      </c>
    </row>
    <row r="111" spans="8:16" x14ac:dyDescent="0.25">
      <c r="H111" s="8" t="s">
        <v>54</v>
      </c>
      <c r="P111" s="8" t="s">
        <v>54</v>
      </c>
    </row>
    <row r="112" spans="8:16" x14ac:dyDescent="0.25">
      <c r="H112" s="8" t="s">
        <v>54</v>
      </c>
      <c r="P112" s="8" t="s">
        <v>54</v>
      </c>
    </row>
    <row r="113" spans="8:16" x14ac:dyDescent="0.25">
      <c r="H113" s="8" t="s">
        <v>54</v>
      </c>
      <c r="P113" s="8" t="s">
        <v>54</v>
      </c>
    </row>
  </sheetData>
  <dataConsolidate/>
  <conditionalFormatting sqref="B10:B15">
    <cfRule type="colorScale" priority="5">
      <colorScale>
        <cfvo type="num" val="0"/>
        <cfvo type="num" val="10"/>
        <cfvo type="num" val="20"/>
        <color rgb="FF0070C0"/>
        <color rgb="FF9751CB"/>
        <color rgb="FFFFC000"/>
      </colorScale>
    </cfRule>
  </conditionalFormatting>
  <conditionalFormatting sqref="A19">
    <cfRule type="colorScale" priority="8">
      <colorScale>
        <cfvo type="num" val="0"/>
        <cfvo type="num" val="$A$21/2"/>
        <cfvo type="num" val="$A$21"/>
        <color rgb="FFFF0000"/>
        <color rgb="FFFFEB84"/>
        <color rgb="FF00B050"/>
      </colorScale>
    </cfRule>
  </conditionalFormatting>
  <conditionalFormatting sqref="S11:S13">
    <cfRule type="cellIs" dxfId="106" priority="3" operator="equal">
      <formula>"No"</formula>
    </cfRule>
    <cfRule type="cellIs" dxfId="105" priority="4" operator="equal">
      <formula>"Yes"</formula>
    </cfRule>
  </conditionalFormatting>
  <conditionalFormatting sqref="S15:S17">
    <cfRule type="cellIs" dxfId="104" priority="1" operator="equal">
      <formula>"No"</formula>
    </cfRule>
    <cfRule type="cellIs" dxfId="103" priority="2" operator="equal">
      <formula>"Yes"</formula>
    </cfRule>
  </conditionalFormatting>
  <hyperlinks>
    <hyperlink ref="E14" r:id="rId1" location="content" display="Condition" xr:uid="{7E92AD09-0EF8-4488-826B-6E7474943045}"/>
  </hyperlinks>
  <pageMargins left="0.7" right="0.7" top="0.75" bottom="0.75" header="0.3" footer="0.3"/>
  <pageSetup orientation="portrait" horizontalDpi="300" verticalDpi="300" r:id="rId2"/>
  <drawing r:id="rId3"/>
  <tableParts count="19">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38</vt:i4>
      </vt:variant>
    </vt:vector>
  </HeadingPairs>
  <TitlesOfParts>
    <vt:vector size="43" baseType="lpstr">
      <vt:lpstr>PC Template</vt:lpstr>
      <vt:lpstr>Background</vt:lpstr>
      <vt:lpstr>Spells</vt:lpstr>
      <vt:lpstr>Monsters</vt:lpstr>
      <vt:lpstr>Monster Template</vt:lpstr>
      <vt:lpstr>Age</vt:lpstr>
      <vt:lpstr>Alignment</vt:lpstr>
      <vt:lpstr>Background</vt:lpstr>
      <vt:lpstr>ChaCell</vt:lpstr>
      <vt:lpstr>ChaMod</vt:lpstr>
      <vt:lpstr>ConCell</vt:lpstr>
      <vt:lpstr>ConMod</vt:lpstr>
      <vt:lpstr>Copper</vt:lpstr>
      <vt:lpstr>Death_Fail</vt:lpstr>
      <vt:lpstr>Death_Pass</vt:lpstr>
      <vt:lpstr>DeathFail</vt:lpstr>
      <vt:lpstr>DexCell</vt:lpstr>
      <vt:lpstr>DexMod</vt:lpstr>
      <vt:lpstr>Electrum</vt:lpstr>
      <vt:lpstr>Eyes</vt:lpstr>
      <vt:lpstr>Gender</vt:lpstr>
      <vt:lpstr>Gold</vt:lpstr>
      <vt:lpstr>Hair</vt:lpstr>
      <vt:lpstr>Height</vt:lpstr>
      <vt:lpstr>Insprtn</vt:lpstr>
      <vt:lpstr>IntCell</vt:lpstr>
      <vt:lpstr>IntMod</vt:lpstr>
      <vt:lpstr>Max_Prepared</vt:lpstr>
      <vt:lpstr>Name</vt:lpstr>
      <vt:lpstr>Platinum</vt:lpstr>
      <vt:lpstr>Player</vt:lpstr>
      <vt:lpstr>Player_2</vt:lpstr>
      <vt:lpstr>Res_DC</vt:lpstr>
      <vt:lpstr>Silver</vt:lpstr>
      <vt:lpstr>Size</vt:lpstr>
      <vt:lpstr>Skin</vt:lpstr>
      <vt:lpstr>StrCell</vt:lpstr>
      <vt:lpstr>StrMod</vt:lpstr>
      <vt:lpstr>Type</vt:lpstr>
      <vt:lpstr>Version</vt:lpstr>
      <vt:lpstr>Weight</vt:lpstr>
      <vt:lpstr>WisCell</vt:lpstr>
      <vt:lpstr>WisMod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2021-07-13T07:09:10Z</cp:lastPrinted>
  <dcterms:created xsi:type="dcterms:W3CDTF">2019-09-08T23:45:12Z</dcterms:created>
  <dcterms:modified xsi:type="dcterms:W3CDTF">2023-01-29T21:40:14Z</dcterms:modified>
</cp:coreProperties>
</file>